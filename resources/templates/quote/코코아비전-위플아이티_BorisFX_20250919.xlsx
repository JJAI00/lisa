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0068C01005444D23FB32DE7" xr6:coauthVersionLast="47" xr6:coauthVersionMax="47" xr10:uidLastSave="{B08C52BD-B621-41AE-B048-D43B94B9B701}"/>
  <bookViews>
    <workbookView xWindow="34404" yWindow="-156" windowWidth="31032" windowHeight="16872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V24" i="1" l="1"/>
  <c r="W14" i="1"/>
  <c r="O24" i="1"/>
  <c r="O25" i="1" l="1"/>
  <c r="O26" i="1" s="1"/>
  <c r="E10" i="1" s="1"/>
  <c r="W24" i="1"/>
</calcChain>
</file>

<file path=xl/sharedStrings.xml><?xml version="1.0" encoding="utf-8"?>
<sst xmlns="http://schemas.openxmlformats.org/spreadsheetml/2006/main" count="73" uniqueCount="73">
  <si>
    <t xml:space="preserve"> *   견 적 서   *</t>
  </si>
  <si>
    <t>견적일자</t>
  </si>
  <si>
    <t>공
급
자</t>
  </si>
  <si>
    <t>상  호</t>
  </si>
  <si>
    <t>큐브렉스</t>
  </si>
  <si>
    <t>코코아비전 - 위플아이티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</si>
  <si>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</si>
  <si>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</si>
  <si>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</si>
  <si>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</si>
  <si>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</si>
  <si>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</si>
  <si>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</si>
  <si>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</si>
  <si>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</si>
  <si>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</si>
  <si>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</si>
  <si>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</si>
  <si>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</si>
  <si>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</si>
  <si>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</si>
  <si>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</si>
  <si>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</si>
  <si>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</si>
  <si>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</si>
  <si>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</si>
  <si>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</si>
  <si>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</si>
  <si>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</si>
  <si>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</si>
  <si>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</si>
  <si>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</si>
  <si>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</si>
  <si>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</si>
  <si>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</si>
  <si>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</si>
  <si>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</si>
  <si>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</si>
  <si>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</si>
  <si>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</si>
  <si>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</si>
  <si>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</si>
  <si>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</si>
  <si>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</si>
  <si>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</si>
  <si>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Floating - Renewal</t>
  </si>
  <si>
    <t>Mocha Pro (OFX) Annual - New</t>
  </si>
  <si>
    <t>Mocha Pro (OFX) Annual - Floating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</si>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</sst>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14" fontId="9" fillId="0" borderId="9" xfId="1" applyNumberFormat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M20" sqref="M20:N20"/>
    </sheetView>
  </sheetViews>
  <sheetFormatPr defaultColWidth="18.15234375" defaultRowHeight="22.5" customHeight="1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21" t="s">
        <v>1</v>
      </c>
      <c r="D3" s="122"/>
      <c r="E3" s="123"/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5" t="s">
        <v>24</v>
      </c>
      <c r="D10" s="76"/>
      <c r="E10" s="107">
        <f>O26</f>
        <v>9020000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5</v>
      </c>
      <c r="M14" s="100">
        <v>915000</v>
      </c>
      <c r="N14" s="80"/>
      <c r="O14" s="87">
        <f t="shared" ref="O14:O23" si="0">M14*L14</f>
        <v>4575000</v>
      </c>
      <c r="P14" s="86"/>
      <c r="Q14" s="152">
        <v>45933</v>
      </c>
      <c r="T14" s="39">
        <v>882378</v>
      </c>
      <c r="U14" s="39">
        <f>T14*L14</f>
        <v>4411890</v>
      </c>
      <c r="V14" s="41">
        <f t="shared" ref="V14:V23" si="1">O14-U14</f>
        <v>163110</v>
      </c>
      <c r="W14" s="42">
        <f t="shared" ref="W14:W24" si="2">V14/O14</f>
        <v>3.565245901639344E-2</v>
      </c>
      <c r="X14" s="66"/>
      <c r="Y14" s="44"/>
      <c r="AA14" s="45"/>
    </row>
    <row r="15" spans="2:27" ht="33" customHeight="1">
      <c r="B15" s="85">
        <v>2</v>
      </c>
      <c r="C15" s="86"/>
      <c r="D15" s="124" t="s">
        <v>46</v>
      </c>
      <c r="E15" s="79"/>
      <c r="F15" s="79"/>
      <c r="G15" s="79"/>
      <c r="H15" s="79"/>
      <c r="I15" s="79"/>
      <c r="J15" s="79"/>
      <c r="K15" s="80"/>
      <c r="L15" s="38">
        <v>1</v>
      </c>
      <c r="M15" s="100">
        <v>400000</v>
      </c>
      <c r="N15" s="80"/>
      <c r="O15" s="87">
        <f t="shared" si="0"/>
        <v>400000</v>
      </c>
      <c r="P15" s="86"/>
      <c r="Q15" s="64"/>
      <c r="T15" s="39">
        <v>384930</v>
      </c>
      <c r="U15" s="40">
        <f t="shared" ref="U15:U23" si="3">L15*T15</f>
        <v>384930</v>
      </c>
      <c r="V15" s="41">
        <f t="shared" si="1"/>
        <v>15070</v>
      </c>
      <c r="W15" s="42">
        <f t="shared" si="2"/>
        <v>3.7675E-2</v>
      </c>
      <c r="X15" s="66"/>
      <c r="Y15" s="44"/>
      <c r="AA15" s="45"/>
    </row>
    <row r="16" spans="2:27" ht="33" customHeight="1">
      <c r="B16" s="85">
        <v>3</v>
      </c>
      <c r="C16" s="86"/>
      <c r="D16" s="124" t="s">
        <v>47</v>
      </c>
      <c r="E16" s="79"/>
      <c r="F16" s="79"/>
      <c r="G16" s="79"/>
      <c r="H16" s="79"/>
      <c r="I16" s="79"/>
      <c r="J16" s="79"/>
      <c r="K16" s="80"/>
      <c r="L16" s="38">
        <v>5</v>
      </c>
      <c r="M16" s="100">
        <v>645000</v>
      </c>
      <c r="N16" s="80"/>
      <c r="O16" s="87">
        <f t="shared" si="0"/>
        <v>3225000</v>
      </c>
      <c r="P16" s="86"/>
      <c r="Q16" s="64"/>
      <c r="T16" s="39">
        <v>621810</v>
      </c>
      <c r="U16" s="40">
        <f t="shared" si="3"/>
        <v>3109050</v>
      </c>
      <c r="V16" s="41">
        <f t="shared" si="1"/>
        <v>115950</v>
      </c>
      <c r="W16" s="42">
        <f t="shared" si="2"/>
        <v>3.5953488372093022E-2</v>
      </c>
      <c r="X16" s="43"/>
      <c r="Y16" s="44"/>
      <c r="AA16" s="45"/>
    </row>
    <row r="17" spans="2:25" ht="33" customHeight="1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46" t="s">
        <v>48</v>
      </c>
      <c r="C24" s="112"/>
      <c r="D24" s="149" t="s">
        <v>49</v>
      </c>
      <c r="E24" s="130"/>
      <c r="F24" s="130"/>
      <c r="G24" s="130"/>
      <c r="H24" s="130"/>
      <c r="I24" s="129" t="s">
        <v>50</v>
      </c>
      <c r="J24" s="130"/>
      <c r="K24" s="130"/>
      <c r="L24" s="131"/>
      <c r="M24" s="103" t="s">
        <v>51</v>
      </c>
      <c r="N24" s="86"/>
      <c r="O24" s="144">
        <f>SUM(O14:P23)</f>
        <v>8200000</v>
      </c>
      <c r="P24" s="86"/>
      <c r="Q24" s="48"/>
      <c r="T24" s="39">
        <f>SUM(T14:T23)</f>
        <v>1889118</v>
      </c>
      <c r="U24" s="39">
        <f>SUM(U14:U23)</f>
        <v>7905870</v>
      </c>
      <c r="V24" s="39">
        <f>SUM(V14:V23)</f>
        <v>294130</v>
      </c>
      <c r="W24" s="42">
        <f t="shared" si="2"/>
        <v>3.5869512195121953E-2</v>
      </c>
      <c r="X24" s="43"/>
      <c r="Y24" s="44"/>
    </row>
    <row r="25" spans="2:25" ht="21" customHeight="1">
      <c r="B25" s="147"/>
      <c r="C25" s="148"/>
      <c r="D25" s="140" t="s">
        <v>52</v>
      </c>
      <c r="E25" s="83"/>
      <c r="F25" s="83"/>
      <c r="G25" s="83"/>
      <c r="H25" s="83"/>
      <c r="I25" s="83"/>
      <c r="J25" s="83"/>
      <c r="K25" s="83"/>
      <c r="L25" s="141"/>
      <c r="M25" s="103" t="s">
        <v>53</v>
      </c>
      <c r="N25" s="86"/>
      <c r="O25" s="97">
        <f>O24*0.1</f>
        <v>820000</v>
      </c>
      <c r="P25" s="86"/>
      <c r="Q25" s="48"/>
      <c r="Y25" s="44"/>
    </row>
    <row r="26" spans="2:25" ht="21" customHeight="1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54</v>
      </c>
      <c r="N26" s="86"/>
      <c r="O26" s="97">
        <f>SUM(O24:P25)</f>
        <v>9020000</v>
      </c>
      <c r="P26" s="86"/>
      <c r="Q26" s="48"/>
      <c r="W26" s="45"/>
      <c r="X26" s="49"/>
    </row>
    <row r="27" spans="2:25" ht="6.75" customHeight="1"/>
    <row r="28" spans="2:25" ht="6.75" customHeight="1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/>
    <row r="30" spans="2:25" ht="12.75" customHeight="1">
      <c r="B30" s="135" t="s">
        <v>55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/>
    <row r="32" spans="2:25" ht="22.5" customHeight="1">
      <c r="B32" s="91" t="s">
        <v>56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>
      <c r="B33" s="88" t="s">
        <v>57</v>
      </c>
      <c r="C33" s="89"/>
      <c r="D33" s="89"/>
      <c r="E33" s="86"/>
      <c r="F33" s="78"/>
      <c r="G33" s="79"/>
      <c r="H33" s="80"/>
      <c r="I33" s="126" t="s">
        <v>58</v>
      </c>
      <c r="J33" s="89"/>
      <c r="K33" s="78"/>
      <c r="L33" s="79"/>
      <c r="M33" s="80"/>
      <c r="N33" s="88" t="s">
        <v>59</v>
      </c>
      <c r="O33" s="86"/>
      <c r="P33" s="118"/>
      <c r="Q33" s="80"/>
      <c r="W33" s="52"/>
    </row>
    <row r="34" spans="1:23" s="51" customFormat="1" ht="25.5" customHeight="1">
      <c r="B34" s="88" t="s">
        <v>60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>
      <c r="B35" s="88" t="s">
        <v>61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>
      <c r="B36" s="88" t="s">
        <v>62</v>
      </c>
      <c r="C36" s="89"/>
      <c r="D36" s="89"/>
      <c r="E36" s="86"/>
      <c r="F36" s="78"/>
      <c r="G36" s="79"/>
      <c r="H36" s="79"/>
      <c r="I36" s="79"/>
      <c r="J36" s="80"/>
      <c r="K36" s="116" t="s">
        <v>63</v>
      </c>
      <c r="L36" s="89"/>
      <c r="M36" s="86"/>
      <c r="N36" s="90"/>
      <c r="O36" s="79"/>
      <c r="P36" s="79"/>
      <c r="Q36" s="80"/>
    </row>
    <row r="37" spans="1:23" ht="25.5" customHeight="1">
      <c r="B37" s="110" t="s">
        <v>64</v>
      </c>
      <c r="C37" s="111"/>
      <c r="D37" s="112"/>
      <c r="E37" s="151" t="s">
        <v>65</v>
      </c>
      <c r="F37" s="86"/>
      <c r="G37" s="125"/>
      <c r="H37" s="79"/>
      <c r="I37" s="79"/>
      <c r="J37" s="79"/>
      <c r="K37" s="80"/>
      <c r="L37" s="88" t="s">
        <v>66</v>
      </c>
      <c r="M37" s="86"/>
      <c r="N37" s="118"/>
      <c r="O37" s="79"/>
      <c r="P37" s="79"/>
      <c r="Q37" s="80"/>
    </row>
    <row r="38" spans="1:23" ht="25.5" customHeight="1">
      <c r="B38" s="113"/>
      <c r="C38" s="114"/>
      <c r="D38" s="115"/>
      <c r="E38" s="88" t="s">
        <v>67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/>
    <row r="40" spans="1:23" ht="12.75" customHeight="1">
      <c r="B40" s="81" t="s">
        <v>68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81"/>
      <c r="C42" s="76"/>
      <c r="D42" s="76"/>
      <c r="E42" s="76"/>
      <c r="F42" s="76"/>
      <c r="G42" s="76"/>
      <c r="H42" s="105" t="s">
        <v>69</v>
      </c>
      <c r="I42" s="83"/>
      <c r="J42" s="83"/>
      <c r="K42" s="83"/>
      <c r="L42" s="83"/>
      <c r="M42" s="83"/>
      <c r="N42" s="127" t="s">
        <v>70</v>
      </c>
      <c r="O42" s="83"/>
      <c r="P42" s="83"/>
      <c r="Q42" s="83"/>
    </row>
    <row r="43" spans="1:23" ht="30" customHeight="1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>
      <c r="G46" s="56"/>
    </row>
    <row r="47" spans="1:23" ht="18" customHeight="1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9FC01A5A-ED16-44F8-81B4-50732AAC5F99}"/>
</file>

<file path=customXml/itemProps2.xml><?xml version="1.0" encoding="utf-8"?>
<ds:datastoreItem xmlns:ds="http://schemas.openxmlformats.org/officeDocument/2006/customXml" ds:itemID="{B10CEAE0-7774-4062-81F7-07AAEF41F288}"/>
</file>

<file path=customXml/itemProps3.xml><?xml version="1.0" encoding="utf-8"?>
<ds:datastoreItem xmlns:ds="http://schemas.openxmlformats.org/officeDocument/2006/customXml" ds:itemID="{6E8534E3-20B1-44C6-9ED5-22719E457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2025-09-19T06:31:14Z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