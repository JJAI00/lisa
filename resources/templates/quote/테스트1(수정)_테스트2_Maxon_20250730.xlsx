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theme/theme1.xml" ContentType="application/vnd.openxmlformats-officedocument.theme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34452" yWindow="-108" windowWidth="30936" windowHeight="16776" tabRatio="600" firstSheet="0" activeTab="0" autoFilterDateGrouping="1"/>
  </bookViews>
  <sheets>
    <sheet xmlns:r="http://schemas.openxmlformats.org/officeDocument/2006/relationships" name="1" sheetId="1" state="visible" r:id="rId1"/>
  </sheets>
  <definedNames>
    <definedName name="_xlnm.Print_Area" localSheetId="0">'1'!$A$1:$R$49</definedName>
  </definedNames>
  <calcPr calcId="191029" fullCalcOnLoad="1"/>
</workbook>
</file>

<file path=xl/styles.xml><?xml version="1.0" encoding="utf-8"?>
<styleSheet xmlns="http://schemas.openxmlformats.org/spreadsheetml/2006/main">
  <numFmts count="5">
    <numFmt numFmtId="164" formatCode="0_);[Red]\(0\)"/>
    <numFmt numFmtId="165" formatCode="_-* #,##0_-;\-* #,##0_-;_-* &quot;-&quot;_-;_-@_-"/>
    <numFmt numFmtId="166" formatCode="\$#,##0_);[Red]\(\$#,##0\)"/>
    <numFmt numFmtId="167" formatCode="_-* #,##0.00_-;\-* #,##0.00_-;_-* &quot;-&quot;??_-;_-@_-"/>
    <numFmt numFmtId="168" formatCode="_-[$₩-412]* #,##0_-;\-[$₩-412]* #,##0_-;_-[$₩-412]* &quot;-&quot;??_-;_-@_-"/>
  </numFmts>
  <fonts count="25">
    <font>
      <name val="맑은 고딕"/>
      <charset val="129"/>
      <family val="2"/>
      <color theme="1"/>
      <sz val="9"/>
      <scheme val="minor"/>
    </font>
    <font>
      <name val="맑은 고딕"/>
      <charset val="129"/>
      <family val="2"/>
      <color theme="1"/>
      <sz val="9"/>
      <scheme val="minor"/>
    </font>
    <font>
      <name val="맑은 고딕"/>
      <charset val="129"/>
      <family val="2"/>
      <sz val="8"/>
      <scheme val="minor"/>
    </font>
    <font>
      <name val="맑은 고딕"/>
      <charset val="129"/>
      <family val="3"/>
      <b val="1"/>
      <color theme="0"/>
      <sz val="22"/>
      <scheme val="minor"/>
    </font>
    <font>
      <name val="맑은 고딕"/>
      <charset val="129"/>
      <family val="3"/>
      <b val="1"/>
      <color theme="0"/>
      <sz val="28"/>
      <scheme val="minor"/>
    </font>
    <font>
      <name val="맑은 고딕"/>
      <charset val="129"/>
      <family val="2"/>
      <color theme="10"/>
      <sz val="9"/>
      <u val="single"/>
      <scheme val="minor"/>
    </font>
    <font>
      <name val="맑은 고딕"/>
      <charset val="129"/>
      <family val="3"/>
      <color theme="1"/>
      <sz val="10"/>
      <scheme val="minor"/>
    </font>
    <font>
      <name val="맑은 고딕"/>
      <charset val="129"/>
      <family val="3"/>
      <b val="1"/>
      <color theme="1"/>
      <sz val="11"/>
      <scheme val="minor"/>
    </font>
    <font>
      <name val="맑은 고딕"/>
      <charset val="129"/>
      <family val="2"/>
      <color theme="1"/>
      <sz val="10"/>
      <scheme val="minor"/>
    </font>
    <font>
      <name val="맑은 고딕"/>
      <charset val="129"/>
      <family val="3"/>
      <color theme="1"/>
      <sz val="9"/>
      <scheme val="minor"/>
    </font>
    <font>
      <name val="맑은 고딕"/>
      <charset val="129"/>
      <family val="3"/>
      <b val="1"/>
      <sz val="16"/>
      <scheme val="minor"/>
    </font>
    <font>
      <name val="맑은 고딕"/>
      <charset val="129"/>
      <family val="3"/>
      <b val="1"/>
      <sz val="13"/>
      <scheme val="minor"/>
    </font>
    <font>
      <name val="맑은 고딕"/>
      <charset val="129"/>
      <family val="3"/>
      <b val="1"/>
      <color theme="0"/>
      <sz val="13"/>
      <scheme val="minor"/>
    </font>
    <font>
      <name val="맑은 고딕"/>
      <charset val="129"/>
      <family val="3"/>
      <sz val="10"/>
      <scheme val="minor"/>
    </font>
    <font>
      <name val="맑은 고딕"/>
      <charset val="129"/>
      <family val="3"/>
      <sz val="11"/>
      <scheme val="minor"/>
    </font>
    <font>
      <name val="맑은 고딕"/>
      <charset val="129"/>
      <family val="3"/>
      <sz val="9"/>
      <scheme val="minor"/>
    </font>
    <font>
      <name val="맑은 고딕"/>
      <charset val="129"/>
      <family val="3"/>
      <b val="1"/>
      <sz val="10"/>
      <scheme val="minor"/>
    </font>
    <font>
      <name val="맑은 고딕"/>
      <charset val="129"/>
      <family val="3"/>
      <b val="1"/>
      <sz val="12"/>
      <scheme val="minor"/>
    </font>
    <font>
      <name val="맑은 고딕"/>
      <charset val="129"/>
      <family val="3"/>
      <b val="1"/>
      <color theme="1"/>
      <sz val="16"/>
      <scheme val="minor"/>
    </font>
    <font>
      <name val="맑은 고딕"/>
      <charset val="129"/>
      <family val="3"/>
      <b val="1"/>
      <color theme="1" tint="0.249977111117893"/>
      <sz val="10"/>
      <scheme val="minor"/>
    </font>
    <font>
      <name val="맑은 고딕"/>
      <charset val="129"/>
      <family val="3"/>
      <color theme="1" tint="0.249977111117893"/>
      <sz val="10"/>
      <scheme val="minor"/>
    </font>
    <font>
      <name val="맑은 고딕"/>
      <charset val="129"/>
      <family val="3"/>
      <b val="1"/>
      <color theme="1"/>
      <sz val="10"/>
      <scheme val="minor"/>
    </font>
    <font>
      <name val="맑은 고딕"/>
      <charset val="129"/>
      <family val="3"/>
      <b val="1"/>
      <color theme="0"/>
      <sz val="9"/>
      <scheme val="minor"/>
    </font>
    <font>
      <name val="맑은 고딕"/>
      <charset val="129"/>
      <family val="3"/>
      <color rgb="FFFF0000"/>
      <sz val="9"/>
      <scheme val="minor"/>
    </font>
    <font>
      <name val="맑은 고딕"/>
      <charset val="129"/>
      <family val="3"/>
      <b val="1"/>
      <sz val="9.5"/>
      <scheme val="minor"/>
    </font>
  </fonts>
  <fills count="5">
    <fill>
      <patternFill/>
    </fill>
    <fill>
      <patternFill patternType="gray125"/>
    </fill>
    <fill>
      <patternFill patternType="solid">
        <fgColor rgb="FFFF8500"/>
        <bgColor indexed="64"/>
      </patternFill>
    </fill>
    <fill>
      <patternFill patternType="solid">
        <fgColor theme="1" tint="0.249977111117893"/>
        <bgColor indexed="64"/>
      </patternFill>
    </fill>
    <fill>
      <patternFill patternType="solid">
        <fgColor theme="0" tint="-0.1499984740745262"/>
        <bgColor indexed="64"/>
      </patternFill>
    </fill>
  </fills>
  <borders count="23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/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dotted">
        <color indexed="64"/>
      </bottom>
      <diagonal/>
    </border>
    <border>
      <left/>
      <right/>
      <top style="thin">
        <color indexed="64"/>
      </top>
      <bottom style="dotted">
        <color indexed="64"/>
      </bottom>
      <diagonal/>
    </border>
    <border>
      <left/>
      <right style="thin">
        <color indexed="64"/>
      </right>
      <top style="thin">
        <color indexed="64"/>
      </top>
      <bottom style="dotted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/>
      <right style="hair">
        <color indexed="64"/>
      </right>
      <top style="thin">
        <color indexed="64"/>
      </top>
      <bottom/>
      <diagonal/>
    </border>
  </borders>
  <cellStyleXfs count="4">
    <xf numFmtId="0" fontId="1" fillId="0" borderId="0" applyAlignment="1">
      <alignment vertical="center"/>
    </xf>
    <xf numFmtId="41" fontId="1" fillId="0" borderId="0" applyAlignment="1">
      <alignment vertical="center"/>
    </xf>
    <xf numFmtId="9" fontId="1" fillId="0" borderId="0" applyAlignment="1">
      <alignment vertical="center"/>
    </xf>
    <xf numFmtId="0" fontId="5" fillId="0" borderId="0" applyAlignment="1">
      <alignment vertical="center"/>
    </xf>
  </cellStyleXfs>
  <cellXfs count="242">
    <xf numFmtId="0" fontId="0" fillId="0" borderId="0" applyAlignment="1" pivotButton="0" quotePrefix="0" xfId="0">
      <alignment vertical="center"/>
    </xf>
    <xf numFmtId="0" fontId="4" fillId="0" borderId="0" applyAlignment="1" pivotButton="0" quotePrefix="0" xfId="0">
      <alignment horizontal="center" vertical="center"/>
    </xf>
    <xf numFmtId="0" fontId="5" fillId="0" borderId="0" applyAlignment="1" pivotButton="0" quotePrefix="0" xfId="3">
      <alignment horizontal="center" vertical="center"/>
    </xf>
    <xf numFmtId="0" fontId="4" fillId="0" borderId="1" applyAlignment="1" pivotButton="0" quotePrefix="0" xfId="0">
      <alignment horizontal="center" vertical="center"/>
    </xf>
    <xf numFmtId="0" fontId="6" fillId="0" borderId="0" applyAlignment="1" pivotButton="0" quotePrefix="0" xfId="0">
      <alignment horizontal="center"/>
    </xf>
    <xf numFmtId="0" fontId="0" fillId="0" borderId="0" applyProtection="1" pivotButton="0" quotePrefix="0" xfId="0">
      <protection locked="0" hidden="0"/>
    </xf>
    <xf numFmtId="14" fontId="0" fillId="0" borderId="0" applyAlignment="1" pivotButton="0" quotePrefix="0" xfId="0">
      <alignment horizontal="right"/>
    </xf>
    <xf numFmtId="0" fontId="0" fillId="0" borderId="0" pivotButton="0" quotePrefix="0" xfId="0"/>
    <xf numFmtId="0" fontId="10" fillId="0" borderId="0" pivotButton="0" quotePrefix="0" xfId="0"/>
    <xf numFmtId="0" fontId="11" fillId="0" borderId="0" applyAlignment="1" pivotButton="0" quotePrefix="0" xfId="0">
      <alignment vertical="center"/>
    </xf>
    <xf numFmtId="0" fontId="12" fillId="0" borderId="0" applyAlignment="1" pivotButton="0" quotePrefix="0" xfId="0">
      <alignment vertical="center"/>
    </xf>
    <xf numFmtId="0" fontId="9" fillId="0" borderId="8" applyAlignment="1" pivotButton="0" quotePrefix="0" xfId="0">
      <alignment horizontal="center" vertical="center"/>
    </xf>
    <xf numFmtId="0" fontId="9" fillId="0" borderId="10" applyAlignment="1" pivotButton="0" quotePrefix="0" xfId="0">
      <alignment horizontal="left" vertical="center" indent="1"/>
    </xf>
    <xf numFmtId="0" fontId="13" fillId="0" borderId="0" applyAlignment="1" pivotButton="0" quotePrefix="0" xfId="0">
      <alignment horizontal="distributed" justifyLastLine="1"/>
    </xf>
    <xf numFmtId="0" fontId="14" fillId="0" borderId="0" applyAlignment="1" pivotButton="0" quotePrefix="0" xfId="0">
      <alignment horizontal="center" vertical="center"/>
    </xf>
    <xf numFmtId="0" fontId="11" fillId="0" borderId="0" applyAlignment="1" pivotButton="0" quotePrefix="0" xfId="0">
      <alignment horizontal="center" vertical="center"/>
    </xf>
    <xf numFmtId="0" fontId="15" fillId="0" borderId="0" applyAlignment="1" pivotButton="0" quotePrefix="0" xfId="0">
      <alignment vertical="center"/>
    </xf>
    <xf numFmtId="0" fontId="11" fillId="0" borderId="0" applyAlignment="1" pivotButton="0" quotePrefix="0" xfId="0">
      <alignment horizontal="left" vertical="center"/>
    </xf>
    <xf numFmtId="0" fontId="16" fillId="0" borderId="0" applyAlignment="1" pivotButton="0" quotePrefix="0" xfId="0">
      <alignment horizontal="center" vertical="center"/>
    </xf>
    <xf numFmtId="0" fontId="13" fillId="0" borderId="0" applyAlignment="1" applyProtection="1" pivotButton="0" quotePrefix="0" xfId="0">
      <alignment vertical="center" shrinkToFit="1"/>
      <protection locked="0" hidden="0"/>
    </xf>
    <xf numFmtId="0" fontId="15" fillId="0" borderId="10" applyAlignment="1" applyProtection="1" pivotButton="0" quotePrefix="0" xfId="0">
      <alignment horizontal="center" vertical="center"/>
      <protection locked="0" hidden="0"/>
    </xf>
    <xf numFmtId="0" fontId="15" fillId="0" borderId="7" applyAlignment="1" applyProtection="1" pivotButton="0" quotePrefix="0" xfId="0">
      <alignment horizontal="left" vertical="center" shrinkToFit="1" indent="1"/>
      <protection locked="0" hidden="0"/>
    </xf>
    <xf numFmtId="0" fontId="13" fillId="0" borderId="0" applyAlignment="1" applyProtection="1" pivotButton="0" quotePrefix="0" xfId="0">
      <alignment vertical="center"/>
      <protection locked="0" hidden="0"/>
    </xf>
    <xf numFmtId="0" fontId="15" fillId="0" borderId="8" applyAlignment="1" applyProtection="1" pivotButton="0" quotePrefix="0" xfId="0">
      <alignment horizontal="center" vertical="center"/>
      <protection locked="0" hidden="0"/>
    </xf>
    <xf numFmtId="0" fontId="15" fillId="0" borderId="10" applyAlignment="1" applyProtection="1" pivotButton="0" quotePrefix="0" xfId="0">
      <alignment horizontal="left" vertical="center" indent="1"/>
      <protection locked="0" hidden="0"/>
    </xf>
    <xf numFmtId="0" fontId="14" fillId="0" borderId="0" applyAlignment="1" pivotButton="0" quotePrefix="0" xfId="0">
      <alignment horizontal="left" indent="2"/>
    </xf>
    <xf numFmtId="0" fontId="6" fillId="0" borderId="0" applyAlignment="1" pivotButton="0" quotePrefix="0" xfId="0">
      <alignment horizontal="center" vertical="center"/>
    </xf>
    <xf numFmtId="0" fontId="9" fillId="0" borderId="0" applyAlignment="1" pivotButton="0" quotePrefix="0" xfId="0">
      <alignment horizontal="center" vertical="center"/>
    </xf>
    <xf numFmtId="0" fontId="9" fillId="0" borderId="13" applyAlignment="1" pivotButton="0" quotePrefix="0" xfId="0">
      <alignment horizontal="left" vertical="center"/>
    </xf>
    <xf numFmtId="0" fontId="15" fillId="0" borderId="13" applyAlignment="1" applyProtection="1" pivotButton="0" quotePrefix="0" xfId="0">
      <alignment horizontal="center" vertical="center"/>
      <protection locked="0" hidden="0"/>
    </xf>
    <xf numFmtId="0" fontId="15" fillId="0" borderId="13" applyAlignment="1" applyProtection="1" pivotButton="0" quotePrefix="0" xfId="0">
      <alignment horizontal="left" vertical="center"/>
      <protection locked="0" hidden="0"/>
    </xf>
    <xf numFmtId="0" fontId="13" fillId="0" borderId="0" pivotButton="0" quotePrefix="0" xfId="0"/>
    <xf numFmtId="0" fontId="16" fillId="0" borderId="0" applyAlignment="1" pivotButton="0" quotePrefix="0" xfId="0">
      <alignment vertical="center"/>
    </xf>
    <xf numFmtId="0" fontId="16" fillId="0" borderId="0" applyAlignment="1" pivotButton="0" quotePrefix="0" xfId="0">
      <alignment vertical="center" shrinkToFit="1"/>
    </xf>
    <xf numFmtId="0" fontId="16" fillId="0" borderId="1" applyAlignment="1" applyProtection="1" pivotButton="0" quotePrefix="0" xfId="0">
      <alignment horizontal="left" vertical="center" shrinkToFit="1"/>
      <protection locked="0" hidden="0"/>
    </xf>
    <xf numFmtId="0" fontId="18" fillId="0" borderId="0" applyAlignment="1" pivotButton="0" quotePrefix="0" xfId="0">
      <alignment vertical="center"/>
    </xf>
    <xf numFmtId="0" fontId="19" fillId="4" borderId="10" applyAlignment="1" pivotButton="0" quotePrefix="0" xfId="0">
      <alignment horizontal="center" vertical="center"/>
    </xf>
    <xf numFmtId="0" fontId="13" fillId="4" borderId="10" applyAlignment="1" pivotButton="0" quotePrefix="0" xfId="0">
      <alignment horizontal="center" vertical="center"/>
    </xf>
    <xf numFmtId="164" fontId="20" fillId="0" borderId="10" applyAlignment="1" applyProtection="1" pivotButton="0" quotePrefix="0" xfId="0">
      <alignment horizontal="center" vertical="center"/>
      <protection locked="0" hidden="0"/>
    </xf>
    <xf numFmtId="165" fontId="20" fillId="0" borderId="10" applyAlignment="1" applyProtection="1" pivotButton="0" quotePrefix="0" xfId="1">
      <alignment vertical="center"/>
      <protection locked="0" hidden="0"/>
    </xf>
    <xf numFmtId="165" fontId="20" fillId="0" borderId="9" applyAlignment="1" applyProtection="1" pivotButton="0" quotePrefix="0" xfId="1">
      <alignment vertical="center"/>
      <protection locked="0" hidden="0"/>
    </xf>
    <xf numFmtId="165" fontId="20" fillId="0" borderId="12" applyAlignment="1" applyProtection="1" pivotButton="0" quotePrefix="0" xfId="1">
      <alignment vertical="center"/>
      <protection locked="0" hidden="0"/>
    </xf>
    <xf numFmtId="10" fontId="13" fillId="0" borderId="10" applyAlignment="1" applyProtection="1" pivotButton="0" quotePrefix="0" xfId="2">
      <alignment horizontal="center" vertical="center"/>
      <protection locked="0" hidden="0"/>
    </xf>
    <xf numFmtId="9" fontId="20" fillId="0" borderId="9" applyAlignment="1" applyProtection="1" pivotButton="0" quotePrefix="0" xfId="1">
      <alignment vertical="center"/>
      <protection locked="0" hidden="0"/>
    </xf>
    <xf numFmtId="0" fontId="0" fillId="0" borderId="0" applyAlignment="1" applyProtection="1" pivotButton="0" quotePrefix="0" xfId="0">
      <alignment vertical="center"/>
      <protection locked="0" hidden="0"/>
    </xf>
    <xf numFmtId="165" fontId="0" fillId="0" borderId="0" applyAlignment="1" pivotButton="0" quotePrefix="0" xfId="1">
      <alignment vertical="center"/>
    </xf>
    <xf numFmtId="165" fontId="6" fillId="0" borderId="10" applyAlignment="1" applyProtection="1" pivotButton="0" quotePrefix="0" xfId="1">
      <alignment horizontal="center" vertical="center"/>
      <protection locked="0" hidden="0"/>
    </xf>
    <xf numFmtId="166" fontId="20" fillId="0" borderId="9" applyAlignment="1" applyProtection="1" pivotButton="0" quotePrefix="0" xfId="1">
      <alignment vertical="center"/>
      <protection locked="0" hidden="0"/>
    </xf>
    <xf numFmtId="165" fontId="6" fillId="0" borderId="10" applyAlignment="1" applyProtection="1" pivotButton="0" quotePrefix="0" xfId="1">
      <alignment vertical="center"/>
      <protection locked="0" hidden="0"/>
    </xf>
    <xf numFmtId="10" fontId="0" fillId="0" borderId="0" applyAlignment="1" pivotButton="0" quotePrefix="0" xfId="0">
      <alignment vertical="center"/>
    </xf>
    <xf numFmtId="165" fontId="0" fillId="0" borderId="0" applyAlignment="1" pivotButton="0" quotePrefix="0" xfId="0">
      <alignment vertical="center"/>
    </xf>
    <xf numFmtId="0" fontId="0" fillId="0" borderId="0" applyAlignment="1" pivotButton="0" quotePrefix="0" xfId="0">
      <alignment horizontal="left" vertical="center"/>
    </xf>
    <xf numFmtId="165" fontId="0" fillId="0" borderId="0" applyAlignment="1" pivotButton="0" quotePrefix="0" xfId="1">
      <alignment horizontal="left" vertical="center"/>
    </xf>
    <xf numFmtId="165" fontId="0" fillId="0" borderId="0" applyAlignment="1" pivotButton="0" quotePrefix="0" xfId="0">
      <alignment horizontal="left" vertical="center"/>
    </xf>
    <xf numFmtId="164" fontId="20" fillId="0" borderId="0" applyAlignment="1" pivotButton="0" quotePrefix="0" xfId="0">
      <alignment horizontal="center" vertical="center"/>
    </xf>
    <xf numFmtId="165" fontId="6" fillId="0" borderId="0" applyAlignment="1" pivotButton="0" quotePrefix="0" xfId="1">
      <alignment vertical="center"/>
    </xf>
    <xf numFmtId="0" fontId="5" fillId="0" borderId="0" applyAlignment="1" pivotButton="0" quotePrefix="0" xfId="3">
      <alignment vertical="center"/>
    </xf>
    <xf numFmtId="0" fontId="22" fillId="2" borderId="0" applyAlignment="1" pivotButton="0" quotePrefix="0" xfId="0">
      <alignment vertical="center"/>
    </xf>
    <xf numFmtId="0" fontId="22" fillId="2" borderId="0" applyAlignment="1" pivotButton="0" quotePrefix="0" xfId="0">
      <alignment horizontal="right" vertical="center"/>
    </xf>
    <xf numFmtId="0" fontId="9" fillId="0" borderId="6" applyAlignment="1" pivotButton="0" quotePrefix="0" xfId="0">
      <alignment horizontal="center" vertical="center"/>
    </xf>
    <xf numFmtId="0" fontId="13" fillId="0" borderId="0" applyAlignment="1" pivotButton="0" quotePrefix="0" xfId="0">
      <alignment horizontal="distributed"/>
    </xf>
    <xf numFmtId="0" fontId="19" fillId="4" borderId="9" applyAlignment="1" pivotButton="0" quotePrefix="0" xfId="0">
      <alignment horizontal="center" vertical="center"/>
    </xf>
    <xf numFmtId="0" fontId="19" fillId="4" borderId="12" applyAlignment="1" pivotButton="0" quotePrefix="0" xfId="0">
      <alignment horizontal="center" vertical="center"/>
    </xf>
    <xf numFmtId="0" fontId="21" fillId="0" borderId="0" applyAlignment="1" pivotButton="0" quotePrefix="0" xfId="0">
      <alignment vertical="center"/>
    </xf>
    <xf numFmtId="165" fontId="9" fillId="0" borderId="10" applyAlignment="1" applyProtection="1" pivotButton="0" quotePrefix="0" xfId="1">
      <alignment horizontal="center" vertical="center" wrapText="1"/>
      <protection locked="0" hidden="0"/>
    </xf>
    <xf numFmtId="167" fontId="0" fillId="0" borderId="0" applyAlignment="1" pivotButton="0" quotePrefix="0" xfId="0">
      <alignment vertical="center"/>
    </xf>
    <xf numFmtId="9" fontId="20" fillId="0" borderId="9" applyAlignment="1" applyProtection="1" pivotButton="0" quotePrefix="0" xfId="1">
      <alignment vertical="center" wrapText="1"/>
      <protection locked="0" hidden="0"/>
    </xf>
    <xf numFmtId="0" fontId="0" fillId="0" borderId="0" applyAlignment="1" pivotButton="0" quotePrefix="0" xfId="2">
      <alignment vertical="center"/>
    </xf>
    <xf numFmtId="165" fontId="0" fillId="0" borderId="0" applyAlignment="1" pivotButton="0" quotePrefix="0" xfId="1">
      <alignment vertical="center"/>
    </xf>
    <xf numFmtId="166" fontId="0" fillId="0" borderId="0" applyAlignment="1" pivotButton="0" quotePrefix="0" xfId="0">
      <alignment vertical="center"/>
    </xf>
    <xf numFmtId="164" fontId="20" fillId="0" borderId="6" applyAlignment="1" applyProtection="1" pivotButton="0" quotePrefix="0" xfId="0">
      <alignment horizontal="center" vertical="center"/>
      <protection locked="0" hidden="0"/>
    </xf>
    <xf numFmtId="165" fontId="23" fillId="0" borderId="10" applyAlignment="1" applyProtection="1" pivotButton="0" quotePrefix="0" xfId="1">
      <alignment horizontal="center" vertical="center" wrapText="1"/>
      <protection locked="0" hidden="0"/>
    </xf>
    <xf numFmtId="0" fontId="9" fillId="0" borderId="1" applyAlignment="1" pivotButton="0" quotePrefix="0" xfId="0">
      <alignment vertical="center"/>
    </xf>
    <xf numFmtId="0" fontId="9" fillId="0" borderId="0" applyAlignment="1" pivotButton="0" quotePrefix="0" xfId="0">
      <alignment vertical="center"/>
    </xf>
    <xf numFmtId="0" fontId="3" fillId="2" borderId="0" applyAlignment="1" pivotButton="0" quotePrefix="0" xfId="0">
      <alignment horizontal="center" vertical="center"/>
    </xf>
    <xf numFmtId="0" fontId="6" fillId="0" borderId="2" applyAlignment="1" pivotButton="0" quotePrefix="0" xfId="0">
      <alignment horizontal="distributed"/>
    </xf>
    <xf numFmtId="14" fontId="7" fillId="0" borderId="2" applyAlignment="1" applyProtection="1" pivotButton="0" quotePrefix="0" xfId="0">
      <alignment horizontal="center"/>
      <protection locked="0" hidden="0"/>
    </xf>
    <xf numFmtId="0" fontId="8" fillId="0" borderId="3" applyAlignment="1" pivotButton="0" quotePrefix="0" xfId="0">
      <alignment horizontal="center" vertical="center" wrapText="1"/>
    </xf>
    <xf numFmtId="0" fontId="6" fillId="0" borderId="5" applyAlignment="1" pivotButton="0" quotePrefix="0" xfId="0">
      <alignment horizontal="center" vertical="center"/>
    </xf>
    <xf numFmtId="0" fontId="6" fillId="0" borderId="6" applyAlignment="1" pivotButton="0" quotePrefix="0" xfId="0">
      <alignment horizontal="center" vertical="center"/>
    </xf>
    <xf numFmtId="0" fontId="9" fillId="0" borderId="3" applyAlignment="1" pivotButton="0" quotePrefix="0" xfId="0">
      <alignment horizontal="center" vertical="center"/>
    </xf>
    <xf numFmtId="0" fontId="9" fillId="0" borderId="6" applyAlignment="1" pivotButton="0" quotePrefix="0" xfId="0">
      <alignment horizontal="center" vertical="center"/>
    </xf>
    <xf numFmtId="0" fontId="9" fillId="0" borderId="4" applyAlignment="1" pivotButton="0" quotePrefix="0" xfId="0">
      <alignment horizontal="left" vertical="center"/>
    </xf>
    <xf numFmtId="0" fontId="9" fillId="0" borderId="7" applyAlignment="1" pivotButton="0" quotePrefix="0" xfId="0">
      <alignment horizontal="left" vertical="center"/>
    </xf>
    <xf numFmtId="0" fontId="17" fillId="0" borderId="0" applyAlignment="1" applyProtection="1" pivotButton="0" quotePrefix="0" xfId="0">
      <alignment horizontal="center"/>
      <protection locked="0" hidden="0"/>
    </xf>
    <xf numFmtId="0" fontId="17" fillId="0" borderId="2" applyAlignment="1" applyProtection="1" pivotButton="0" quotePrefix="0" xfId="0">
      <alignment horizontal="center"/>
      <protection locked="0" hidden="0"/>
    </xf>
    <xf numFmtId="0" fontId="9" fillId="0" borderId="8" applyAlignment="1" pivotButton="0" quotePrefix="0" xfId="0">
      <alignment horizontal="left" vertical="center" indent="1"/>
    </xf>
    <xf numFmtId="0" fontId="9" fillId="0" borderId="9" applyAlignment="1" pivotButton="0" quotePrefix="0" xfId="0">
      <alignment horizontal="left" vertical="center" indent="1"/>
    </xf>
    <xf numFmtId="0" fontId="13" fillId="0" borderId="0" applyAlignment="1" pivotButton="0" quotePrefix="0" xfId="0">
      <alignment horizontal="distributed"/>
    </xf>
    <xf numFmtId="0" fontId="14" fillId="0" borderId="0" applyAlignment="1" applyProtection="1" pivotButton="0" quotePrefix="0" xfId="0">
      <alignment horizontal="left" indent="2"/>
      <protection locked="0" hidden="0"/>
    </xf>
    <xf numFmtId="0" fontId="9" fillId="0" borderId="8" applyAlignment="1" pivotButton="0" quotePrefix="0" xfId="0">
      <alignment horizontal="center" vertical="center" wrapText="1"/>
    </xf>
    <xf numFmtId="0" fontId="9" fillId="0" borderId="12" applyAlignment="1" pivotButton="0" quotePrefix="0" xfId="0">
      <alignment horizontal="center" vertical="center" wrapText="1"/>
    </xf>
    <xf numFmtId="0" fontId="9" fillId="0" borderId="9" applyAlignment="1" pivotButton="0" quotePrefix="0" xfId="0">
      <alignment horizontal="center" vertical="center" wrapText="1"/>
    </xf>
    <xf numFmtId="0" fontId="5" fillId="0" borderId="0" applyAlignment="1" applyProtection="1" pivotButton="0" quotePrefix="0" xfId="3">
      <alignment horizontal="left" indent="2"/>
      <protection locked="0" hidden="0"/>
    </xf>
    <xf numFmtId="0" fontId="9" fillId="0" borderId="12" applyAlignment="1" pivotButton="0" quotePrefix="0" xfId="0">
      <alignment horizontal="left" vertical="center" indent="1"/>
    </xf>
    <xf numFmtId="0" fontId="13" fillId="0" borderId="0" applyAlignment="1" pivotButton="0" quotePrefix="0" xfId="0">
      <alignment horizontal="distributed" vertical="center"/>
    </xf>
    <xf numFmtId="168" fontId="17" fillId="0" borderId="0" applyAlignment="1" pivotButton="0" quotePrefix="0" xfId="1">
      <alignment horizontal="center" vertical="center"/>
    </xf>
    <xf numFmtId="0" fontId="16" fillId="0" borderId="0" applyAlignment="1" pivotButton="0" quotePrefix="0" xfId="0">
      <alignment horizontal="left" vertical="center" shrinkToFit="1"/>
    </xf>
    <xf numFmtId="0" fontId="16" fillId="0" borderId="1" applyAlignment="1" applyProtection="1" pivotButton="0" quotePrefix="0" xfId="0">
      <alignment horizontal="right" vertical="top" shrinkToFit="1"/>
      <protection locked="0" hidden="0"/>
    </xf>
    <xf numFmtId="165" fontId="17" fillId="0" borderId="1" applyAlignment="1" applyProtection="1" pivotButton="0" quotePrefix="0" xfId="0">
      <alignment vertical="top" shrinkToFit="1"/>
      <protection locked="0" hidden="0"/>
    </xf>
    <xf numFmtId="0" fontId="12" fillId="3" borderId="8" applyAlignment="1" pivotButton="0" quotePrefix="0" xfId="0">
      <alignment horizontal="center" vertical="center"/>
    </xf>
    <xf numFmtId="0" fontId="12" fillId="3" borderId="12" applyAlignment="1" pivotButton="0" quotePrefix="0" xfId="0">
      <alignment horizontal="center" vertical="center"/>
    </xf>
    <xf numFmtId="0" fontId="12" fillId="3" borderId="9" applyAlignment="1" pivotButton="0" quotePrefix="0" xfId="0">
      <alignment horizontal="center" vertical="center"/>
    </xf>
    <xf numFmtId="0" fontId="19" fillId="4" borderId="8" applyAlignment="1" pivotButton="0" quotePrefix="0" xfId="0">
      <alignment horizontal="center" vertical="center"/>
    </xf>
    <xf numFmtId="0" fontId="19" fillId="4" borderId="9" applyAlignment="1" pivotButton="0" quotePrefix="0" xfId="0">
      <alignment horizontal="center" vertical="center"/>
    </xf>
    <xf numFmtId="0" fontId="19" fillId="4" borderId="12" applyAlignment="1" pivotButton="0" quotePrefix="0" xfId="0">
      <alignment horizontal="center" vertical="center"/>
    </xf>
    <xf numFmtId="0" fontId="6" fillId="0" borderId="10" applyAlignment="1" pivotButton="0" quotePrefix="0" xfId="0">
      <alignment horizontal="center" vertical="center"/>
    </xf>
    <xf numFmtId="0" fontId="6" fillId="0" borderId="10" applyAlignment="1" applyProtection="1" pivotButton="0" quotePrefix="0" xfId="0">
      <alignment horizontal="left" vertical="center" wrapText="1" indent="1"/>
      <protection locked="0" hidden="0"/>
    </xf>
    <xf numFmtId="165" fontId="20" fillId="0" borderId="10" applyAlignment="1" applyProtection="1" pivotButton="0" quotePrefix="0" xfId="1">
      <alignment horizontal="center" vertical="center"/>
      <protection locked="0" hidden="0"/>
    </xf>
    <xf numFmtId="165" fontId="20" fillId="0" borderId="8" applyAlignment="1" pivotButton="0" quotePrefix="0" xfId="1">
      <alignment horizontal="center" vertical="center"/>
    </xf>
    <xf numFmtId="165" fontId="20" fillId="0" borderId="9" applyAlignment="1" pivotButton="0" quotePrefix="0" xfId="1">
      <alignment horizontal="center" vertical="center"/>
    </xf>
    <xf numFmtId="0" fontId="6" fillId="0" borderId="8" applyAlignment="1" applyProtection="1" pivotButton="0" quotePrefix="0" xfId="0">
      <alignment horizontal="left" vertical="center" wrapText="1" indent="1"/>
      <protection locked="0" hidden="0"/>
    </xf>
    <xf numFmtId="0" fontId="6" fillId="0" borderId="12" applyAlignment="1" applyProtection="1" pivotButton="0" quotePrefix="0" xfId="0">
      <alignment horizontal="left" vertical="center" wrapText="1" indent="1"/>
      <protection locked="0" hidden="0"/>
    </xf>
    <xf numFmtId="0" fontId="6" fillId="0" borderId="9" applyAlignment="1" applyProtection="1" pivotButton="0" quotePrefix="0" xfId="0">
      <alignment horizontal="left" vertical="center" wrapText="1" indent="1"/>
      <protection locked="0" hidden="0"/>
    </xf>
    <xf numFmtId="9" fontId="6" fillId="0" borderId="10" applyAlignment="1" applyProtection="1" pivotButton="0" quotePrefix="0" xfId="2">
      <alignment horizontal="left" vertical="center" wrapText="1" indent="1"/>
      <protection locked="0" hidden="0"/>
    </xf>
    <xf numFmtId="0" fontId="6" fillId="0" borderId="11" applyAlignment="1" applyProtection="1" pivotButton="0" quotePrefix="0" xfId="0">
      <alignment horizontal="left" vertical="center" wrapText="1" indent="1"/>
      <protection locked="0" hidden="0"/>
    </xf>
    <xf numFmtId="0" fontId="6" fillId="0" borderId="1" applyAlignment="1" applyProtection="1" pivotButton="0" quotePrefix="0" xfId="0">
      <alignment horizontal="left" vertical="center" wrapText="1" indent="1"/>
      <protection locked="0" hidden="0"/>
    </xf>
    <xf numFmtId="0" fontId="6" fillId="0" borderId="7" applyAlignment="1" applyProtection="1" pivotButton="0" quotePrefix="0" xfId="0">
      <alignment horizontal="left" vertical="center" wrapText="1" indent="1"/>
      <protection locked="0" hidden="0"/>
    </xf>
    <xf numFmtId="165" fontId="20" fillId="0" borderId="11" applyAlignment="1" applyProtection="1" pivotButton="0" quotePrefix="0" xfId="1">
      <alignment horizontal="center" vertical="center"/>
      <protection locked="0" hidden="0"/>
    </xf>
    <xf numFmtId="165" fontId="20" fillId="0" borderId="7" applyAlignment="1" applyProtection="1" pivotButton="0" quotePrefix="0" xfId="1">
      <alignment horizontal="center" vertical="center"/>
      <protection locked="0" hidden="0"/>
    </xf>
    <xf numFmtId="165" fontId="20" fillId="0" borderId="8" applyAlignment="1" applyProtection="1" pivotButton="0" quotePrefix="0" xfId="1">
      <alignment horizontal="center" vertical="center"/>
      <protection locked="0" hidden="0"/>
    </xf>
    <xf numFmtId="165" fontId="20" fillId="0" borderId="9" applyAlignment="1" applyProtection="1" pivotButton="0" quotePrefix="0" xfId="1">
      <alignment horizontal="center" vertical="center"/>
      <protection locked="0" hidden="0"/>
    </xf>
    <xf numFmtId="0" fontId="21" fillId="0" borderId="15" applyAlignment="1" pivotButton="0" quotePrefix="0" xfId="0">
      <alignment horizontal="center" vertical="center" wrapText="1"/>
    </xf>
    <xf numFmtId="0" fontId="21" fillId="0" borderId="4" applyAlignment="1" pivotButton="0" quotePrefix="0" xfId="0">
      <alignment horizontal="center" vertical="center" wrapText="1"/>
    </xf>
    <xf numFmtId="0" fontId="21" fillId="0" borderId="19" applyAlignment="1" pivotButton="0" quotePrefix="0" xfId="0">
      <alignment horizontal="center" vertical="center" wrapText="1"/>
    </xf>
    <xf numFmtId="0" fontId="21" fillId="0" borderId="14" applyAlignment="1" pivotButton="0" quotePrefix="0" xfId="0">
      <alignment horizontal="center" vertical="center" wrapText="1"/>
    </xf>
    <xf numFmtId="0" fontId="21" fillId="0" borderId="11" applyAlignment="1" pivotButton="0" quotePrefix="0" xfId="0">
      <alignment horizontal="center" vertical="center" wrapText="1"/>
    </xf>
    <xf numFmtId="0" fontId="21" fillId="0" borderId="7" applyAlignment="1" pivotButton="0" quotePrefix="0" xfId="0">
      <alignment horizontal="center" vertical="center" wrapText="1"/>
    </xf>
    <xf numFmtId="0" fontId="0" fillId="0" borderId="16" applyAlignment="1" applyProtection="1" pivotButton="0" quotePrefix="0" xfId="0">
      <alignment vertical="center"/>
      <protection locked="0" hidden="0"/>
    </xf>
    <xf numFmtId="0" fontId="0" fillId="0" borderId="17" applyAlignment="1" applyProtection="1" pivotButton="0" quotePrefix="0" xfId="0">
      <alignment vertical="center"/>
      <protection locked="0" hidden="0"/>
    </xf>
    <xf numFmtId="0" fontId="0" fillId="0" borderId="18" applyAlignment="1" applyProtection="1" pivotButton="0" quotePrefix="0" xfId="0">
      <alignment vertical="center"/>
      <protection locked="0" hidden="0"/>
    </xf>
    <xf numFmtId="0" fontId="19" fillId="0" borderId="8" applyAlignment="1" pivotButton="0" quotePrefix="0" xfId="0">
      <alignment horizontal="center" vertical="center"/>
    </xf>
    <xf numFmtId="0" fontId="19" fillId="0" borderId="9" applyAlignment="1" pivotButton="0" quotePrefix="0" xfId="0">
      <alignment horizontal="center" vertical="center"/>
    </xf>
    <xf numFmtId="165" fontId="19" fillId="0" borderId="8" applyAlignment="1" pivotButton="0" quotePrefix="0" xfId="1">
      <alignment horizontal="center" vertical="center"/>
    </xf>
    <xf numFmtId="165" fontId="19" fillId="0" borderId="9" applyAlignment="1" pivotButton="0" quotePrefix="0" xfId="1">
      <alignment horizontal="center" vertical="center"/>
    </xf>
    <xf numFmtId="0" fontId="21" fillId="0" borderId="19" applyAlignment="1" applyProtection="1" pivotButton="0" quotePrefix="0" xfId="0">
      <alignment vertical="center" wrapText="1"/>
      <protection locked="0" hidden="0"/>
    </xf>
    <xf numFmtId="0" fontId="21" fillId="0" borderId="0" applyAlignment="1" applyProtection="1" pivotButton="0" quotePrefix="0" xfId="0">
      <alignment vertical="center" wrapText="1"/>
      <protection locked="0" hidden="0"/>
    </xf>
    <xf numFmtId="0" fontId="21" fillId="0" borderId="14" applyAlignment="1" applyProtection="1" pivotButton="0" quotePrefix="0" xfId="0">
      <alignment vertical="center" wrapText="1"/>
      <protection locked="0" hidden="0"/>
    </xf>
    <xf numFmtId="0" fontId="21" fillId="0" borderId="11" applyAlignment="1" applyProtection="1" pivotButton="0" quotePrefix="0" xfId="0">
      <alignment vertical="center" wrapText="1"/>
      <protection locked="0" hidden="0"/>
    </xf>
    <xf numFmtId="0" fontId="21" fillId="0" borderId="1" applyAlignment="1" applyProtection="1" pivotButton="0" quotePrefix="0" xfId="0">
      <alignment vertical="center" wrapText="1"/>
      <protection locked="0" hidden="0"/>
    </xf>
    <xf numFmtId="0" fontId="21" fillId="0" borderId="7" applyAlignment="1" applyProtection="1" pivotButton="0" quotePrefix="0" xfId="0">
      <alignment vertical="center" wrapText="1"/>
      <protection locked="0" hidden="0"/>
    </xf>
    <xf numFmtId="165" fontId="19" fillId="0" borderId="8" applyAlignment="1" pivotButton="0" quotePrefix="0" xfId="1">
      <alignment horizontal="right" vertical="center"/>
    </xf>
    <xf numFmtId="165" fontId="19" fillId="0" borderId="9" applyAlignment="1" pivotButton="0" quotePrefix="0" xfId="1">
      <alignment horizontal="right" vertical="center"/>
    </xf>
    <xf numFmtId="0" fontId="0" fillId="0" borderId="0" applyAlignment="1" pivotButton="0" quotePrefix="0" xfId="0">
      <alignment vertical="center"/>
    </xf>
    <xf numFmtId="0" fontId="21" fillId="0" borderId="0" applyAlignment="1" pivotButton="0" quotePrefix="0" xfId="0">
      <alignment horizontal="left" vertical="center"/>
    </xf>
    <xf numFmtId="0" fontId="19" fillId="4" borderId="8" applyAlignment="1" pivotButton="0" quotePrefix="0" xfId="0">
      <alignment horizontal="left" vertical="center"/>
    </xf>
    <xf numFmtId="0" fontId="19" fillId="4" borderId="12" applyAlignment="1" pivotButton="0" quotePrefix="0" xfId="0">
      <alignment horizontal="left" vertical="center"/>
    </xf>
    <xf numFmtId="0" fontId="19" fillId="4" borderId="9" applyAlignment="1" pivotButton="0" quotePrefix="0" xfId="0">
      <alignment horizontal="left" vertical="center"/>
    </xf>
    <xf numFmtId="0" fontId="19" fillId="0" borderId="8" applyAlignment="1" applyProtection="1" pivotButton="0" quotePrefix="0" xfId="0">
      <alignment vertical="center"/>
      <protection locked="0" hidden="0"/>
    </xf>
    <xf numFmtId="0" fontId="19" fillId="0" borderId="12" applyAlignment="1" applyProtection="1" pivotButton="0" quotePrefix="0" xfId="0">
      <alignment vertical="center"/>
      <protection locked="0" hidden="0"/>
    </xf>
    <xf numFmtId="0" fontId="19" fillId="0" borderId="9" applyAlignment="1" applyProtection="1" pivotButton="0" quotePrefix="0" xfId="0">
      <alignment vertical="center"/>
      <protection locked="0" hidden="0"/>
    </xf>
    <xf numFmtId="0" fontId="6" fillId="0" borderId="8" applyAlignment="1" applyProtection="1" pivotButton="0" quotePrefix="0" xfId="0">
      <alignment horizontal="left" vertical="center" indent="1"/>
      <protection locked="0" hidden="0"/>
    </xf>
    <xf numFmtId="0" fontId="6" fillId="0" borderId="9" applyAlignment="1" applyProtection="1" pivotButton="0" quotePrefix="0" xfId="0">
      <alignment horizontal="left" vertical="center" indent="1"/>
      <protection locked="0" hidden="0"/>
    </xf>
    <xf numFmtId="0" fontId="21" fillId="0" borderId="0" applyAlignment="1" pivotButton="0" quotePrefix="0" xfId="0">
      <alignment vertical="center"/>
    </xf>
    <xf numFmtId="0" fontId="21" fillId="0" borderId="0" applyAlignment="1" applyProtection="1" pivotButton="0" quotePrefix="0" xfId="0">
      <alignment horizontal="center" vertical="center"/>
      <protection locked="0" hidden="0"/>
    </xf>
    <xf numFmtId="0" fontId="21" fillId="0" borderId="0" applyAlignment="1" applyProtection="1" pivotButton="0" quotePrefix="0" xfId="0">
      <alignment horizontal="right" vertical="center"/>
      <protection locked="0" hidden="0"/>
    </xf>
    <xf numFmtId="0" fontId="6" fillId="0" borderId="0" applyAlignment="1" applyProtection="1" pivotButton="0" quotePrefix="0" xfId="0">
      <alignment horizontal="center" vertical="center"/>
      <protection locked="0" hidden="0"/>
    </xf>
    <xf numFmtId="0" fontId="6" fillId="0" borderId="0" applyAlignment="1" applyProtection="1" pivotButton="0" quotePrefix="0" xfId="0">
      <alignment horizontal="left" vertical="center" wrapText="1"/>
      <protection locked="0" hidden="0"/>
    </xf>
    <xf numFmtId="165" fontId="20" fillId="0" borderId="0" applyAlignment="1" pivotButton="0" quotePrefix="0" xfId="1">
      <alignment horizontal="center" vertical="center"/>
    </xf>
    <xf numFmtId="0" fontId="6" fillId="0" borderId="12" applyAlignment="1" applyProtection="1" pivotButton="0" quotePrefix="0" xfId="0">
      <alignment horizontal="left" vertical="center" indent="1"/>
      <protection locked="0" hidden="0"/>
    </xf>
    <xf numFmtId="0" fontId="19" fillId="4" borderId="8" applyAlignment="1" pivotButton="0" quotePrefix="0" xfId="0">
      <alignment vertical="center"/>
    </xf>
    <xf numFmtId="0" fontId="19" fillId="4" borderId="12" applyAlignment="1" pivotButton="0" quotePrefix="0" xfId="0">
      <alignment vertical="center"/>
    </xf>
    <xf numFmtId="0" fontId="19" fillId="4" borderId="9" applyAlignment="1" pivotButton="0" quotePrefix="0" xfId="0">
      <alignment vertical="center"/>
    </xf>
    <xf numFmtId="0" fontId="19" fillId="4" borderId="15" applyAlignment="1" pivotButton="0" quotePrefix="0" xfId="0">
      <alignment horizontal="center" vertical="center" wrapText="1"/>
    </xf>
    <xf numFmtId="0" fontId="19" fillId="4" borderId="13" applyAlignment="1" pivotButton="0" quotePrefix="0" xfId="0">
      <alignment horizontal="center" vertical="center" wrapText="1"/>
    </xf>
    <xf numFmtId="0" fontId="19" fillId="4" borderId="4" applyAlignment="1" pivotButton="0" quotePrefix="0" xfId="0">
      <alignment horizontal="center" vertical="center" wrapText="1"/>
    </xf>
    <xf numFmtId="0" fontId="19" fillId="4" borderId="11" applyAlignment="1" pivotButton="0" quotePrefix="0" xfId="0">
      <alignment horizontal="center" vertical="center" wrapText="1"/>
    </xf>
    <xf numFmtId="0" fontId="19" fillId="4" borderId="1" applyAlignment="1" pivotButton="0" quotePrefix="0" xfId="0">
      <alignment horizontal="center" vertical="center" wrapText="1"/>
    </xf>
    <xf numFmtId="0" fontId="19" fillId="4" borderId="7" applyAlignment="1" pivotButton="0" quotePrefix="0" xfId="0">
      <alignment horizontal="center" vertical="center" wrapText="1"/>
    </xf>
    <xf numFmtId="0" fontId="19" fillId="4" borderId="8" applyAlignment="1" pivotButton="0" quotePrefix="0" xfId="0">
      <alignment horizontal="left" vertical="center" shrinkToFit="1"/>
    </xf>
    <xf numFmtId="0" fontId="19" fillId="4" borderId="9" applyAlignment="1" pivotButton="0" quotePrefix="0" xfId="0">
      <alignment horizontal="left" vertical="center" shrinkToFit="1"/>
    </xf>
    <xf numFmtId="0" fontId="19" fillId="0" borderId="8" applyAlignment="1" applyProtection="1" pivotButton="0" quotePrefix="0" xfId="0">
      <alignment horizontal="left" vertical="center" indent="1"/>
      <protection locked="0" hidden="0"/>
    </xf>
    <xf numFmtId="0" fontId="19" fillId="0" borderId="12" applyAlignment="1" applyProtection="1" pivotButton="0" quotePrefix="0" xfId="0">
      <alignment horizontal="left" vertical="center" indent="1"/>
      <protection locked="0" hidden="0"/>
    </xf>
    <xf numFmtId="0" fontId="19" fillId="0" borderId="9" applyAlignment="1" applyProtection="1" pivotButton="0" quotePrefix="0" xfId="0">
      <alignment horizontal="left" vertical="center" indent="1"/>
      <protection locked="0" hidden="0"/>
    </xf>
    <xf numFmtId="0" fontId="24" fillId="0" borderId="10" applyAlignment="1" applyProtection="1" pivotButton="0" quotePrefix="0" xfId="0">
      <alignment horizontal="center" vertical="center" wrapText="1" shrinkToFit="1"/>
      <protection locked="0" hidden="0"/>
    </xf>
    <xf numFmtId="0" fontId="13" fillId="0" borderId="20" applyAlignment="1" applyProtection="1" pivotButton="0" quotePrefix="0" xfId="0">
      <alignment horizontal="center" vertical="center" shrinkToFit="1"/>
      <protection locked="0" hidden="0"/>
    </xf>
    <xf numFmtId="0" fontId="13" fillId="0" borderId="21" applyAlignment="1" applyProtection="1" pivotButton="0" quotePrefix="0" xfId="0">
      <alignment horizontal="center" vertical="center" shrinkToFit="1"/>
      <protection locked="0" hidden="0"/>
    </xf>
    <xf numFmtId="0" fontId="13" fillId="0" borderId="9" applyAlignment="1" applyProtection="1" pivotButton="0" quotePrefix="0" xfId="0">
      <alignment horizontal="center" vertical="center" shrinkToFit="1"/>
      <protection locked="0" hidden="0"/>
    </xf>
    <xf numFmtId="0" fontId="0" fillId="0" borderId="2" pivotButton="0" quotePrefix="0" xfId="0"/>
    <xf numFmtId="0" fontId="0" fillId="0" borderId="2" applyProtection="1" pivotButton="0" quotePrefix="0" xfId="0">
      <protection locked="0" hidden="0"/>
    </xf>
    <xf numFmtId="0" fontId="8" fillId="0" borderId="10" applyAlignment="1" pivotButton="0" quotePrefix="0" xfId="0">
      <alignment horizontal="center" vertical="center" wrapText="1"/>
    </xf>
    <xf numFmtId="0" fontId="9" fillId="0" borderId="10" applyAlignment="1" pivotButton="0" quotePrefix="0" xfId="0">
      <alignment horizontal="center" vertical="center"/>
    </xf>
    <xf numFmtId="0" fontId="9" fillId="0" borderId="9" applyAlignment="1" pivotButton="0" quotePrefix="0" xfId="0">
      <alignment horizontal="left" vertical="center"/>
    </xf>
    <xf numFmtId="0" fontId="0" fillId="0" borderId="5" pivotButton="0" quotePrefix="0" xfId="0"/>
    <xf numFmtId="0" fontId="0" fillId="0" borderId="6" pivotButton="0" quotePrefix="0" xfId="0"/>
    <xf numFmtId="0" fontId="0" fillId="0" borderId="7" pivotButton="0" quotePrefix="0" xfId="0"/>
    <xf numFmtId="0" fontId="0" fillId="0" borderId="9" pivotButton="0" quotePrefix="0" xfId="0"/>
    <xf numFmtId="165" fontId="0" fillId="0" borderId="0" applyAlignment="1" pivotButton="0" quotePrefix="0" xfId="1">
      <alignment vertical="center"/>
    </xf>
    <xf numFmtId="0" fontId="9" fillId="0" borderId="10" applyAlignment="1" pivotButton="0" quotePrefix="0" xfId="0">
      <alignment horizontal="center" vertical="center" wrapText="1"/>
    </xf>
    <xf numFmtId="0" fontId="0" fillId="0" borderId="12" pivotButton="0" quotePrefix="0" xfId="0"/>
    <xf numFmtId="167" fontId="0" fillId="0" borderId="0" applyAlignment="1" pivotButton="0" quotePrefix="0" xfId="0">
      <alignment vertical="center"/>
    </xf>
    <xf numFmtId="165" fontId="0" fillId="0" borderId="0" applyAlignment="1" pivotButton="0" quotePrefix="0" xfId="0">
      <alignment vertical="center"/>
    </xf>
    <xf numFmtId="168" fontId="17" fillId="0" borderId="0" applyAlignment="1" pivotButton="0" quotePrefix="0" xfId="1">
      <alignment horizontal="center" vertical="center"/>
    </xf>
    <xf numFmtId="0" fontId="0" fillId="0" borderId="20" applyProtection="1" pivotButton="0" quotePrefix="0" xfId="0">
      <protection locked="0" hidden="0"/>
    </xf>
    <xf numFmtId="166" fontId="0" fillId="0" borderId="0" applyAlignment="1" pivotButton="0" quotePrefix="0" xfId="0">
      <alignment vertical="center"/>
    </xf>
    <xf numFmtId="0" fontId="0" fillId="0" borderId="1" applyProtection="1" pivotButton="0" quotePrefix="0" xfId="0">
      <protection locked="0" hidden="0"/>
    </xf>
    <xf numFmtId="165" fontId="17" fillId="0" borderId="1" applyAlignment="1" applyProtection="1" pivotButton="0" quotePrefix="0" xfId="0">
      <alignment vertical="top" shrinkToFit="1"/>
      <protection locked="0" hidden="0"/>
    </xf>
    <xf numFmtId="0" fontId="12" fillId="3" borderId="10" applyAlignment="1" pivotButton="0" quotePrefix="0" xfId="0">
      <alignment horizontal="center" vertical="center"/>
    </xf>
    <xf numFmtId="0" fontId="0" fillId="0" borderId="12" applyProtection="1" pivotButton="0" quotePrefix="0" xfId="0">
      <protection locked="0" hidden="0"/>
    </xf>
    <xf numFmtId="0" fontId="0" fillId="0" borderId="9" applyProtection="1" pivotButton="0" quotePrefix="0" xfId="0">
      <protection locked="0" hidden="0"/>
    </xf>
    <xf numFmtId="164" fontId="20" fillId="0" borderId="10" applyAlignment="1" applyProtection="1" pivotButton="0" quotePrefix="0" xfId="0">
      <alignment horizontal="center" vertical="center"/>
      <protection locked="0" hidden="0"/>
    </xf>
    <xf numFmtId="165" fontId="20" fillId="0" borderId="10" applyAlignment="1" applyProtection="1" pivotButton="0" quotePrefix="0" xfId="1">
      <alignment horizontal="center" vertical="center"/>
      <protection locked="0" hidden="0"/>
    </xf>
    <xf numFmtId="165" fontId="20" fillId="0" borderId="10" applyAlignment="1" pivotButton="0" quotePrefix="0" xfId="1">
      <alignment horizontal="center" vertical="center"/>
    </xf>
    <xf numFmtId="165" fontId="9" fillId="0" borderId="10" applyAlignment="1" applyProtection="1" pivotButton="0" quotePrefix="0" xfId="1">
      <alignment horizontal="center" vertical="center" wrapText="1"/>
      <protection locked="0" hidden="0"/>
    </xf>
    <xf numFmtId="165" fontId="20" fillId="0" borderId="10" applyAlignment="1" applyProtection="1" pivotButton="0" quotePrefix="0" xfId="1">
      <alignment vertical="center"/>
      <protection locked="0" hidden="0"/>
    </xf>
    <xf numFmtId="165" fontId="20" fillId="0" borderId="12" applyAlignment="1" applyProtection="1" pivotButton="0" quotePrefix="0" xfId="1">
      <alignment vertical="center"/>
      <protection locked="0" hidden="0"/>
    </xf>
    <xf numFmtId="165" fontId="20" fillId="0" borderId="9" applyAlignment="1" applyProtection="1" pivotButton="0" quotePrefix="0" xfId="1">
      <alignment vertical="center"/>
      <protection locked="0" hidden="0"/>
    </xf>
    <xf numFmtId="165" fontId="23" fillId="0" borderId="10" applyAlignment="1" applyProtection="1" pivotButton="0" quotePrefix="0" xfId="1">
      <alignment horizontal="center" vertical="center" wrapText="1"/>
      <protection locked="0" hidden="0"/>
    </xf>
    <xf numFmtId="0" fontId="6" fillId="0" borderId="6" applyAlignment="1" applyProtection="1" pivotButton="0" quotePrefix="0" xfId="0">
      <alignment horizontal="left" vertical="center" wrapText="1" indent="1"/>
      <protection locked="0" hidden="0"/>
    </xf>
    <xf numFmtId="0" fontId="0" fillId="0" borderId="7" applyProtection="1" pivotButton="0" quotePrefix="0" xfId="0">
      <protection locked="0" hidden="0"/>
    </xf>
    <xf numFmtId="164" fontId="20" fillId="0" borderId="6" applyAlignment="1" applyProtection="1" pivotButton="0" quotePrefix="0" xfId="0">
      <alignment horizontal="center" vertical="center"/>
      <protection locked="0" hidden="0"/>
    </xf>
    <xf numFmtId="165" fontId="20" fillId="0" borderId="6" applyAlignment="1" applyProtection="1" pivotButton="0" quotePrefix="0" xfId="1">
      <alignment horizontal="center" vertical="center"/>
      <protection locked="0" hidden="0"/>
    </xf>
    <xf numFmtId="165" fontId="6" fillId="0" borderId="10" applyAlignment="1" applyProtection="1" pivotButton="0" quotePrefix="0" xfId="1">
      <alignment horizontal="center" vertical="center"/>
      <protection locked="0" hidden="0"/>
    </xf>
    <xf numFmtId="166" fontId="20" fillId="0" borderId="9" applyAlignment="1" applyProtection="1" pivotButton="0" quotePrefix="0" xfId="1">
      <alignment vertical="center"/>
      <protection locked="0" hidden="0"/>
    </xf>
    <xf numFmtId="0" fontId="21" fillId="0" borderId="10" applyAlignment="1" pivotButton="0" quotePrefix="0" xfId="0">
      <alignment horizontal="center" vertical="center" wrapText="1"/>
    </xf>
    <xf numFmtId="0" fontId="0" fillId="0" borderId="4" pivotButton="0" quotePrefix="0" xfId="0"/>
    <xf numFmtId="0" fontId="0" fillId="0" borderId="17" applyProtection="1" pivotButton="0" quotePrefix="0" xfId="0">
      <protection locked="0" hidden="0"/>
    </xf>
    <xf numFmtId="0" fontId="0" fillId="0" borderId="18" applyProtection="1" pivotButton="0" quotePrefix="0" xfId="0">
      <protection locked="0" hidden="0"/>
    </xf>
    <xf numFmtId="0" fontId="19" fillId="0" borderId="10" applyAlignment="1" pivotButton="0" quotePrefix="0" xfId="0">
      <alignment horizontal="center" vertical="center"/>
    </xf>
    <xf numFmtId="165" fontId="19" fillId="0" borderId="10" applyAlignment="1" pivotButton="0" quotePrefix="0" xfId="1">
      <alignment horizontal="center" vertical="center"/>
    </xf>
    <xf numFmtId="165" fontId="6" fillId="0" borderId="10" applyAlignment="1" applyProtection="1" pivotButton="0" quotePrefix="0" xfId="1">
      <alignment vertical="center"/>
      <protection locked="0" hidden="0"/>
    </xf>
    <xf numFmtId="0" fontId="0" fillId="0" borderId="19" pivotButton="0" quotePrefix="0" xfId="0"/>
    <xf numFmtId="0" fontId="0" fillId="0" borderId="14" pivotButton="0" quotePrefix="0" xfId="0"/>
    <xf numFmtId="0" fontId="21" fillId="0" borderId="6" applyAlignment="1" applyProtection="1" pivotButton="0" quotePrefix="0" xfId="0">
      <alignment vertical="center" wrapText="1"/>
      <protection locked="0" hidden="0"/>
    </xf>
    <xf numFmtId="0" fontId="0" fillId="0" borderId="14" applyProtection="1" pivotButton="0" quotePrefix="0" xfId="0">
      <protection locked="0" hidden="0"/>
    </xf>
    <xf numFmtId="165" fontId="19" fillId="0" borderId="10" applyAlignment="1" pivotButton="0" quotePrefix="0" xfId="1">
      <alignment horizontal="right" vertical="center"/>
    </xf>
    <xf numFmtId="0" fontId="0" fillId="0" borderId="11" pivotButton="0" quotePrefix="0" xfId="0"/>
    <xf numFmtId="0" fontId="0" fillId="0" borderId="11" applyProtection="1" pivotButton="0" quotePrefix="0" xfId="0">
      <protection locked="0" hidden="0"/>
    </xf>
    <xf numFmtId="0" fontId="19" fillId="4" borderId="10" applyAlignment="1" pivotButton="0" quotePrefix="0" xfId="0">
      <alignment horizontal="left" vertical="center"/>
    </xf>
    <xf numFmtId="0" fontId="19" fillId="0" borderId="10" applyAlignment="1" applyProtection="1" pivotButton="0" quotePrefix="0" xfId="0">
      <alignment vertical="center"/>
      <protection locked="0" hidden="0"/>
    </xf>
    <xf numFmtId="0" fontId="6" fillId="0" borderId="10" applyAlignment="1" applyProtection="1" pivotButton="0" quotePrefix="0" xfId="0">
      <alignment horizontal="left" vertical="center" indent="1"/>
      <protection locked="0" hidden="0"/>
    </xf>
    <xf numFmtId="165" fontId="0" fillId="0" borderId="0" applyAlignment="1" pivotButton="0" quotePrefix="0" xfId="1">
      <alignment horizontal="left" vertical="center"/>
    </xf>
    <xf numFmtId="165" fontId="0" fillId="0" borderId="0" applyAlignment="1" pivotButton="0" quotePrefix="0" xfId="0">
      <alignment horizontal="left" vertical="center"/>
    </xf>
    <xf numFmtId="0" fontId="19" fillId="4" borderId="10" applyAlignment="1" pivotButton="0" quotePrefix="0" xfId="0">
      <alignment vertical="center"/>
    </xf>
    <xf numFmtId="0" fontId="19" fillId="4" borderId="10" applyAlignment="1" pivotButton="0" quotePrefix="0" xfId="0">
      <alignment horizontal="center" vertical="center" wrapText="1"/>
    </xf>
    <xf numFmtId="0" fontId="0" fillId="0" borderId="13" pivotButton="0" quotePrefix="0" xfId="0"/>
    <xf numFmtId="0" fontId="19" fillId="4" borderId="10" applyAlignment="1" pivotButton="0" quotePrefix="0" xfId="0">
      <alignment horizontal="left" vertical="center" shrinkToFit="1"/>
    </xf>
    <xf numFmtId="0" fontId="19" fillId="0" borderId="10" applyAlignment="1" applyProtection="1" pivotButton="0" quotePrefix="0" xfId="0">
      <alignment horizontal="left" vertical="center" indent="1"/>
      <protection locked="0" hidden="0"/>
    </xf>
    <xf numFmtId="0" fontId="0" fillId="0" borderId="1" pivotButton="0" quotePrefix="0" xfId="0"/>
    <xf numFmtId="164" fontId="20" fillId="0" borderId="0" applyAlignment="1" pivotButton="0" quotePrefix="0" xfId="0">
      <alignment horizontal="center" vertical="center"/>
    </xf>
    <xf numFmtId="165" fontId="20" fillId="0" borderId="0" applyAlignment="1" pivotButton="0" quotePrefix="0" xfId="1">
      <alignment horizontal="center" vertical="center"/>
    </xf>
    <xf numFmtId="165" fontId="6" fillId="0" borderId="0" applyAlignment="1" pivotButton="0" quotePrefix="0" xfId="1">
      <alignment vertical="center"/>
    </xf>
  </cellXfs>
  <cellStyles count="4">
    <cellStyle name="표준" xfId="0" builtinId="0"/>
    <cellStyle name="쉼표 [0]" xfId="1" builtinId="6"/>
    <cellStyle name="백분율" xfId="2" builtinId="5"/>
    <cellStyle name="하이퍼링크" xfId="3" builtinId="8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styles" Target="styles.xml"/><Relationship Id="rId1" Type="http://schemas.openxmlformats.org/officeDocument/2006/relationships/worksheet" Target="/xl/worksheets/sheet1.xml"/><Relationship Id="rId6" Type="http://schemas.openxmlformats.org/officeDocument/2006/relationships/customXml" Target="../customXml/item3.xml"/><Relationship Id="rId5" Type="http://schemas.openxmlformats.org/officeDocument/2006/relationships/customXml" Target="../customXml/item2.xml"/><Relationship Id="rId4" Type="http://schemas.openxmlformats.org/officeDocument/2006/relationships/customXml" Target="../customXml/item1.xml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Relationship Type="http://schemas.openxmlformats.org/officeDocument/2006/relationships/image" Target="/xl/media/image2.png" Id="rId2"/><Relationship Type="http://schemas.openxmlformats.org/officeDocument/2006/relationships/image" Target="/xl/media/image3.png" Id="rId3"/><Relationship Type="http://schemas.openxmlformats.org/officeDocument/2006/relationships/image" Target="/xl/media/image4.png" Id="rId4"/></Relationships>
</file>

<file path=xl/drawings/drawing1.xml><?xml version="1.0" encoding="utf-8"?>
<wsDr xmlns="http://schemas.openxmlformats.org/drawingml/2006/spreadsheetDrawing">
  <twoCellAnchor>
    <from>
      <col>1</col>
      <colOff>0</colOff>
      <row>43</row>
      <rowOff>0</rowOff>
    </from>
    <to>
      <col>5</col>
      <colOff>0</colOff>
      <row>45</row>
      <rowOff>0</rowOff>
    </to>
    <pic>
      <nvPicPr>
        <cNvPr id="4" name="Picture 1" descr="Picture"/>
        <cNvPicPr>
          <a:picLocks xmlns:a="http://schemas.openxmlformats.org/drawingml/2006/main" noChangeAspect="1"/>
        </cNvPicPr>
      </nvPicPr>
      <blipFill>
        <a:blip xmlns:a="http://schemas.openxmlformats.org/drawingml/2006/main" xmlns:r="http://schemas.openxmlformats.org/officeDocument/2006/relationships" r:embed="rId3"/>
        <a:stretch xmlns:a="http://schemas.openxmlformats.org/drawingml/2006/main">
          <a:fillRect/>
        </a:stretch>
      </blipFill>
      <spPr>
        <a:xfrm xmlns:a="http://schemas.openxmlformats.org/drawingml/2006/main">
          <a:off x="1127760" y="7208520"/>
          <a:ext cx="4511040" cy="335280"/>
        </a:xfrm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twoCellAnchor>
  <twoCellAnchor>
    <from>
      <col>15</col>
      <colOff>0</colOff>
      <row>43</row>
      <rowOff>0</rowOff>
    </from>
    <to>
      <col>17</col>
      <colOff>0</colOff>
      <row>45</row>
      <rowOff>0</rowOff>
    </to>
    <pic>
      <nvPicPr>
        <cNvPr id="5" name="Picture 1" descr="Picture"/>
        <cNvPicPr>
          <a:picLocks xmlns:a="http://schemas.openxmlformats.org/drawingml/2006/main" noChangeAspect="1"/>
        </cNvPicPr>
      </nvPicPr>
      <blipFill>
        <a:blip xmlns:a="http://schemas.openxmlformats.org/drawingml/2006/main" xmlns:r="http://schemas.openxmlformats.org/officeDocument/2006/relationships" r:embed="rId4"/>
        <a:stretch xmlns:a="http://schemas.openxmlformats.org/drawingml/2006/main">
          <a:fillRect/>
        </a:stretch>
      </blipFill>
      <spPr>
        <a:xfrm xmlns:a="http://schemas.openxmlformats.org/drawingml/2006/main">
          <a:off x="16916400" y="7208520"/>
          <a:ext cx="2255520" cy="335280"/>
        </a:xfrm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twoCellAnchor>
  <oneCellAnchor>
    <from>
      <col>13</col>
      <colOff>136300</colOff>
      <row>2</row>
      <rowOff>78266</rowOff>
    </from>
    <ext cx="1413553" cy="220395"/>
    <pic>
      <nvPicPr>
        <cNvPr id="2" name="그림 1"/>
        <cNvPicPr>
          <a:picLocks xmlns:a="http://schemas.openxmlformats.org/drawingml/2006/main" noChangeAspect="1"/>
        </cNvPicPr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xfrm xmlns:a="http://schemas.openxmlformats.org/drawingml/2006/main">
          <a:off x="14796227" y="413546"/>
          <a:ext cx="1413553" cy="220395"/>
        </a:xfrm>
        <a:prstGeom xmlns:a="http://schemas.openxmlformats.org/drawingml/2006/main" prst="rect">
          <avLst/>
        </a:prstGeom>
        <a:ln xmlns:a="http://schemas.openxmlformats.org/drawingml/2006/main">
          <a:noFill/>
          <a:prstDash val="solid"/>
        </a:ln>
      </spPr>
    </pic>
    <clientData/>
  </oneCellAnchor>
  <oneCellAnchor>
    <from>
      <col>16</col>
      <colOff>573033</colOff>
      <row>3</row>
      <rowOff>38100</rowOff>
    </from>
    <ext cx="851553" cy="733424"/>
    <pic>
      <nvPicPr>
        <cNvPr id="3" name="그림 2"/>
        <cNvPicPr>
          <a:picLocks xmlns:a="http://schemas.openxmlformats.org/drawingml/2006/main" noChangeAspect="1"/>
        </cNvPicPr>
      </nvPicPr>
      <blipFill rotWithShape="1">
        <a:blip xmlns:a="http://schemas.openxmlformats.org/drawingml/2006/main" xmlns:r="http://schemas.openxmlformats.org/officeDocument/2006/relationships" r:embed="rId2"/>
        <a:srcRect xmlns:a="http://schemas.openxmlformats.org/drawingml/2006/main" t="2776" b="14883"/>
        <a:stretch xmlns:a="http://schemas.openxmlformats.org/drawingml/2006/main">
          <a:fillRect/>
        </a:stretch>
      </blipFill>
      <spPr>
        <a:xfrm xmlns:a="http://schemas.openxmlformats.org/drawingml/2006/main">
          <a:off x="18617193" y="541020"/>
          <a:ext cx="851553" cy="733424"/>
        </a:xfrm>
        <a:prstGeom xmlns:a="http://schemas.openxmlformats.org/drawingml/2006/main" prst="ellipse">
          <avLst/>
        </a:prstGeom>
        <a:noFill xmlns:a="http://schemas.openxmlformats.org/drawingml/2006/main"/>
        <a:ln xmlns:a="http://schemas.openxmlformats.org/drawingml/2006/main">
          <a:noFill/>
          <a:prstDash val="solid"/>
        </a:ln>
      </spPr>
    </pic>
    <clientData/>
  </oneCellAnchor>
</wsDr>
</file>

<file path=xl/theme/theme1.xml><?xml version="1.0" encoding="utf-8"?>
<a:theme xmlns:a="http://schemas.openxmlformats.org/drawingml/2006/main" name="Office 2013 - 2022 테마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AA47"/>
  <sheetViews>
    <sheetView showGridLines="0" tabSelected="1" view="pageBreakPreview" topLeftCell="A2" zoomScaleNormal="100" zoomScaleSheetLayoutView="100" workbookViewId="0">
      <selection activeCell="D16" sqref="D16:K16"/>
    </sheetView>
  </sheetViews>
  <sheetFormatPr baseColWidth="8" defaultColWidth="18.15234375" defaultRowHeight="22.5" customHeight="1"/>
  <cols>
    <col collapsed="1" width="1.3828125" customWidth="1" style="7" min="1" max="1"/>
    <col collapsed="1" width="2" customWidth="1" style="7" min="2" max="2"/>
    <col collapsed="1" width="5.3828125" customWidth="1" style="7" min="3" max="3"/>
    <col collapsed="1" width="8.53515625" customWidth="1" style="7" min="4" max="4"/>
    <col collapsed="1" width="12.69140625" customWidth="1" style="7" min="5" max="5"/>
    <col collapsed="1" width="11.84375" customWidth="1" style="7" min="6" max="6"/>
    <col collapsed="1" width="9" customWidth="1" style="7" min="7" max="7"/>
    <col collapsed="1" width="9.15234375" customWidth="1" style="7" min="8" max="9"/>
    <col collapsed="1" width="10.69140625" customWidth="1" style="7" min="10" max="10"/>
    <col collapsed="1" width="8.53515625" customWidth="1" style="7" min="11" max="11"/>
    <col collapsed="1" width="6.84375" customWidth="1" style="7" min="12" max="12"/>
    <col collapsed="1" width="11" customWidth="1" style="7" min="13" max="13"/>
    <col collapsed="1" width="7.15234375" customWidth="1" style="7" min="14" max="14"/>
    <col collapsed="1" width="9.69140625" customWidth="1" style="7" min="15" max="15"/>
    <col collapsed="1" width="9.3828125" customWidth="1" style="7" min="16" max="16"/>
    <col collapsed="1" width="21.69140625" customWidth="1" style="7" min="17" max="17"/>
    <col collapsed="1" width="1.69140625" customWidth="1" style="7" min="18" max="18"/>
    <col collapsed="1" width="2.3046875" customWidth="1" style="7" min="19" max="19"/>
    <col collapsed="1" width="13.69140625" customWidth="1" style="7" min="20" max="22"/>
    <col collapsed="1" width="13.53515625" customWidth="1" style="7" min="23" max="23"/>
    <col collapsed="1" width="17" customWidth="1" style="7" min="24" max="24"/>
    <col collapsed="1" width="5.69140625" customWidth="1" style="7" min="25" max="25"/>
    <col collapsed="1" width="6.3046875" customWidth="1" style="7" min="26" max="26"/>
    <col collapsed="1" width="18.15234375" customWidth="1" style="7" min="28" max="16384"/>
  </cols>
  <sheetData>
    <row r="1" ht="49.5" customHeight="1" s="7">
      <c r="B1" s="74" t="inlineStr">
        <is>
          <t xml:space="preserve"> *   견 적 서   *</t>
        </is>
      </c>
    </row>
    <row r="2" ht="21" customHeight="1" s="7">
      <c r="B2" s="1" t="n"/>
      <c r="C2" s="2" t="n"/>
      <c r="D2" s="1" t="n"/>
      <c r="E2" s="1" t="n"/>
      <c r="F2" s="1" t="n"/>
      <c r="G2" s="1" t="n"/>
      <c r="H2" s="1" t="n"/>
      <c r="I2" s="1" t="n"/>
      <c r="J2" s="1" t="n"/>
      <c r="K2" s="1" t="n"/>
      <c r="L2" s="1" t="n"/>
      <c r="M2" s="3" t="n"/>
      <c r="N2" s="3" t="n"/>
      <c r="O2" s="3" t="n"/>
      <c r="P2" s="3" t="n"/>
      <c r="Q2" s="3" t="n"/>
    </row>
    <row r="3" ht="15" customHeight="1" s="7">
      <c r="B3" s="4" t="n"/>
      <c r="C3" s="75" t="inlineStr">
        <is>
          <t>견적일자</t>
        </is>
      </c>
      <c r="D3" s="178" t="n"/>
      <c r="E3" s="76" t="n"/>
      <c r="F3" s="179" t="n"/>
      <c r="G3" s="5" t="n"/>
      <c r="I3" s="6" t="n"/>
      <c r="L3" s="180" t="inlineStr">
        <is>
          <t>공
급
자</t>
        </is>
      </c>
      <c r="M3" s="181" t="inlineStr">
        <is>
          <t>상  호</t>
        </is>
      </c>
      <c r="N3" s="73" t="n"/>
      <c r="O3" s="73" t="n"/>
      <c r="P3" s="73" t="n"/>
      <c r="Q3" s="182" t="inlineStr">
        <is>
          <t>큐브렉스</t>
        </is>
      </c>
    </row>
    <row r="4" ht="13.5" customHeight="1" s="7">
      <c r="C4" s="85" t="inlineStr">
        <is>
          <t>테스트1(수정) - 테스트2</t>
        </is>
      </c>
      <c r="D4" s="5" t="n"/>
      <c r="E4" s="5" t="n"/>
      <c r="F4" s="5" t="n"/>
      <c r="L4" s="183" t="n"/>
      <c r="M4" s="184" t="n"/>
      <c r="N4" s="72" t="n"/>
      <c r="O4" s="72" t="n"/>
      <c r="P4" s="72" t="n"/>
      <c r="Q4" s="185" t="n"/>
    </row>
    <row r="5" ht="18" customHeight="1" s="7">
      <c r="B5" s="8" t="n"/>
      <c r="C5" s="179" t="n"/>
      <c r="D5" s="179" t="n"/>
      <c r="E5" s="179" t="n"/>
      <c r="F5" s="179" t="n"/>
      <c r="G5" s="9" t="inlineStr">
        <is>
          <t>귀중</t>
        </is>
      </c>
      <c r="H5" s="10" t="n"/>
      <c r="I5" s="10" t="n"/>
      <c r="J5" s="10" t="n"/>
      <c r="L5" s="183" t="n"/>
      <c r="M5" s="81" t="inlineStr">
        <is>
          <t>사업자번호</t>
        </is>
      </c>
      <c r="N5" s="12" t="inlineStr">
        <is>
          <t>120-87-07477</t>
        </is>
      </c>
      <c r="O5" s="186" t="n"/>
      <c r="P5" s="11" t="inlineStr">
        <is>
          <t>대 표 자</t>
        </is>
      </c>
      <c r="Q5" s="12" t="inlineStr">
        <is>
          <t>김민용</t>
        </is>
      </c>
      <c r="U5" s="187" t="n"/>
    </row>
    <row r="6" ht="31.5" customHeight="1" s="7">
      <c r="B6" s="13" t="n"/>
      <c r="C6" s="88" t="inlineStr">
        <is>
          <t xml:space="preserve">담 당 자 </t>
        </is>
      </c>
      <c r="E6" s="89" t="n"/>
      <c r="F6" s="5" t="n"/>
      <c r="G6" s="5" t="n"/>
      <c r="H6" s="14" t="n"/>
      <c r="I6" s="9" t="n"/>
      <c r="J6" s="15" t="n"/>
      <c r="L6" s="183" t="n"/>
      <c r="M6" s="81" t="inlineStr">
        <is>
          <t>사업장소재</t>
        </is>
      </c>
      <c r="N6" s="188" t="inlineStr">
        <is>
          <t>서울시 성동구 연무장5가길 7 현대테라스타워 w904호</t>
        </is>
      </c>
      <c r="O6" s="189" t="n"/>
      <c r="P6" s="189" t="n"/>
      <c r="Q6" s="186" t="n"/>
      <c r="R6" s="16" t="n"/>
      <c r="S6" s="16" t="n"/>
      <c r="V6" s="187" t="n"/>
    </row>
    <row r="7" ht="21.75" customHeight="1" s="7">
      <c r="B7" s="13" t="n"/>
      <c r="C7" s="88" t="inlineStr">
        <is>
          <t>연락처</t>
        </is>
      </c>
      <c r="E7" s="89" t="n"/>
      <c r="F7" s="5" t="n"/>
      <c r="G7" s="5" t="n"/>
      <c r="H7" s="17" t="n"/>
      <c r="I7" s="18" t="n"/>
      <c r="J7" s="19" t="n"/>
      <c r="K7" s="19" t="n"/>
      <c r="L7" s="183" t="n"/>
      <c r="M7" s="81" t="inlineStr">
        <is>
          <t>업  태</t>
        </is>
      </c>
      <c r="N7" s="12" t="inlineStr">
        <is>
          <t>서비스</t>
        </is>
      </c>
      <c r="O7" s="186" t="n"/>
      <c r="P7" s="20" t="inlineStr">
        <is>
          <t>종  목</t>
        </is>
      </c>
      <c r="Q7" s="21" t="inlineStr">
        <is>
          <t>소프트웨어개발자문 및 공급</t>
        </is>
      </c>
      <c r="R7" s="16" t="n"/>
      <c r="S7" s="16" t="n"/>
      <c r="U7" s="190" t="n"/>
      <c r="V7" s="190" t="n"/>
      <c r="W7" s="190" t="n"/>
    </row>
    <row r="8" ht="21.75" customHeight="1" s="7">
      <c r="B8" s="13" t="n"/>
      <c r="C8" s="88" t="inlineStr">
        <is>
          <t>이메일</t>
        </is>
      </c>
      <c r="E8" s="93" t="n"/>
      <c r="F8" s="5" t="n"/>
      <c r="G8" s="5" t="n"/>
      <c r="H8" s="22" t="n"/>
      <c r="I8" s="18" t="n"/>
      <c r="J8" s="19" t="n"/>
      <c r="K8" s="19" t="n"/>
      <c r="L8" s="184" t="n"/>
      <c r="M8" s="81" t="inlineStr">
        <is>
          <t>전  화</t>
        </is>
      </c>
      <c r="N8" s="86" t="inlineStr">
        <is>
          <t>02-561-1770</t>
        </is>
      </c>
      <c r="O8" s="189" t="n"/>
      <c r="P8" s="23" t="inlineStr">
        <is>
          <t>F A X</t>
        </is>
      </c>
      <c r="Q8" s="24" t="inlineStr">
        <is>
          <t>02-561-1787</t>
        </is>
      </c>
      <c r="R8" s="16" t="n"/>
      <c r="S8" s="16" t="n"/>
      <c r="U8" s="191" t="n"/>
      <c r="V8" s="67" t="n"/>
    </row>
    <row r="9" ht="4.5" customHeight="1" s="7">
      <c r="B9" s="13" t="n"/>
      <c r="C9" s="13" t="n"/>
      <c r="D9" s="88" t="n"/>
      <c r="E9" s="25" t="n"/>
      <c r="F9" s="25" t="n"/>
      <c r="G9" s="25" t="n"/>
      <c r="H9" s="22" t="n"/>
      <c r="I9" s="18" t="n"/>
      <c r="J9" s="19" t="n"/>
      <c r="K9" s="19" t="n"/>
      <c r="L9" s="26" t="n"/>
      <c r="M9" s="27" t="n"/>
      <c r="N9" s="28" t="n"/>
      <c r="O9" s="28" t="n"/>
      <c r="P9" s="29" t="n"/>
      <c r="Q9" s="30" t="n"/>
      <c r="R9" s="16" t="n"/>
      <c r="S9" s="16" t="n"/>
    </row>
    <row r="10" ht="24.75" customHeight="1" s="7">
      <c r="B10" s="31" t="n"/>
      <c r="C10" s="95" t="inlineStr">
        <is>
          <t>견적총액</t>
        </is>
      </c>
      <c r="E10" s="192">
        <f>O26</f>
        <v/>
      </c>
      <c r="I10" s="97" t="inlineStr">
        <is>
          <t>(부가세 포함)</t>
        </is>
      </c>
      <c r="L10" s="174" t="inlineStr">
        <is>
          <t>담당자</t>
        </is>
      </c>
      <c r="M10" s="175" t="inlineStr">
        <is>
          <t>김한경 팀장</t>
        </is>
      </c>
      <c r="N10" s="193" t="n"/>
      <c r="O10" s="176" t="inlineStr">
        <is>
          <t>010-3163-0955</t>
        </is>
      </c>
      <c r="P10" s="193" t="n"/>
      <c r="Q10" s="177" t="inlineStr">
        <is>
          <t>kimhk@qvrex.co.kr</t>
        </is>
      </c>
      <c r="R10" s="19" t="n"/>
      <c r="S10" s="16" t="n"/>
      <c r="U10" s="194" t="n"/>
    </row>
    <row r="11" ht="20.25" customHeight="1" s="7">
      <c r="C11" s="32" t="inlineStr">
        <is>
          <t>* 폐사와 거래에 감사드리며, 하기와 같이 견적드립니다.</t>
        </is>
      </c>
      <c r="E11" s="32" t="n"/>
      <c r="F11" s="22" t="n"/>
      <c r="G11" s="22" t="n"/>
      <c r="H11" s="22" t="n"/>
      <c r="I11" s="33" t="n"/>
      <c r="J11" s="33" t="n"/>
      <c r="K11" s="33" t="n"/>
      <c r="M11" s="98" t="n"/>
      <c r="N11" s="195" t="n"/>
      <c r="O11" s="196" t="n"/>
      <c r="P11" s="195" t="n"/>
      <c r="Q11" s="34" t="n"/>
      <c r="R11" s="16" t="n"/>
      <c r="S11" s="16" t="n"/>
      <c r="T11" s="35" t="inlineStr">
        <is>
          <t>기존 견적서와 서식이 동일하게 적용된 양식입니다.</t>
        </is>
      </c>
    </row>
    <row r="12" ht="22.5" customHeight="1" s="7">
      <c r="B12" s="197" t="inlineStr">
        <is>
          <t>Order Detail</t>
        </is>
      </c>
      <c r="C12" s="189" t="n"/>
      <c r="D12" s="189" t="n"/>
      <c r="E12" s="189" t="n"/>
      <c r="F12" s="189" t="n"/>
      <c r="G12" s="189" t="n"/>
      <c r="H12" s="189" t="n"/>
      <c r="I12" s="189" t="n"/>
      <c r="J12" s="189" t="n"/>
      <c r="K12" s="189" t="n"/>
      <c r="L12" s="189" t="n"/>
      <c r="M12" s="189" t="n"/>
      <c r="N12" s="189" t="n"/>
      <c r="O12" s="189" t="n"/>
      <c r="P12" s="189" t="n"/>
      <c r="Q12" s="186" t="n"/>
      <c r="T12" s="35" t="inlineStr">
        <is>
          <t xml:space="preserve">매출단가 / 매입단가를 입력하면 합계액,이익,이익율이 자동 계산됩니다. </t>
        </is>
      </c>
    </row>
    <row r="13" ht="22.5" customHeight="1" s="7">
      <c r="B13" s="36" t="inlineStr">
        <is>
          <t>No</t>
        </is>
      </c>
      <c r="C13" s="186" t="n"/>
      <c r="D13" s="36" t="inlineStr">
        <is>
          <t>Product</t>
        </is>
      </c>
      <c r="E13" s="189" t="n"/>
      <c r="F13" s="189" t="n"/>
      <c r="G13" s="189" t="n"/>
      <c r="H13" s="189" t="n"/>
      <c r="I13" s="189" t="n"/>
      <c r="J13" s="189" t="n"/>
      <c r="K13" s="186" t="n"/>
      <c r="L13" s="36" t="inlineStr">
        <is>
          <t>Q'ty</t>
        </is>
      </c>
      <c r="M13" s="36" t="inlineStr">
        <is>
          <t>단가</t>
        </is>
      </c>
      <c r="N13" s="186" t="n"/>
      <c r="O13" s="36" t="inlineStr">
        <is>
          <t>합계</t>
        </is>
      </c>
      <c r="P13" s="186" t="n"/>
      <c r="Q13" s="36" t="inlineStr">
        <is>
          <t>비고</t>
        </is>
      </c>
      <c r="T13" s="36" t="inlineStr">
        <is>
          <t>매입단가</t>
        </is>
      </c>
      <c r="U13" s="104" t="inlineStr">
        <is>
          <t>매입합계</t>
        </is>
      </c>
      <c r="V13" s="105" t="inlineStr">
        <is>
          <t>이익</t>
        </is>
      </c>
      <c r="W13" s="37" t="inlineStr">
        <is>
          <t>이익률</t>
        </is>
      </c>
      <c r="X13" s="104" t="inlineStr">
        <is>
          <t>매입처</t>
        </is>
      </c>
    </row>
    <row r="14" ht="33" customHeight="1" s="7">
      <c r="B14" s="106" t="n">
        <v>1</v>
      </c>
      <c r="C14" s="186" t="n"/>
      <c r="D14" s="107" t="inlineStr">
        <is>
          <t>Maxon One Annual (Teams) - New</t>
        </is>
      </c>
      <c r="E14" s="198" t="n"/>
      <c r="F14" s="198" t="n"/>
      <c r="G14" s="198" t="n"/>
      <c r="H14" s="198" t="n"/>
      <c r="I14" s="198" t="n"/>
      <c r="J14" s="198" t="n"/>
      <c r="K14" s="199" t="n"/>
      <c r="L14" s="200" t="n">
        <v>2</v>
      </c>
      <c r="M14" s="201" t="n">
        <v>200000</v>
      </c>
      <c r="N14" s="199" t="n"/>
      <c r="O14" s="202">
        <f>M14*L14</f>
        <v/>
      </c>
      <c r="P14" s="186" t="n"/>
      <c r="Q14" s="203" t="n"/>
      <c r="T14" s="204" t="n">
        <v>0</v>
      </c>
      <c r="U14" s="204">
        <f>T14*L14</f>
        <v/>
      </c>
      <c r="V14" s="205">
        <f>O14-U14</f>
        <v/>
      </c>
      <c r="W14" s="42">
        <f>V14/O14</f>
        <v/>
      </c>
      <c r="X14" s="66" t="n"/>
      <c r="Y14" s="44" t="n"/>
      <c r="AA14" s="187" t="n"/>
    </row>
    <row r="15" ht="33" customHeight="1" s="7">
      <c r="B15" s="106" t="n">
        <v>2</v>
      </c>
      <c r="C15" s="186" t="n"/>
      <c r="D15" s="107" t="n"/>
      <c r="E15" s="198" t="n"/>
      <c r="F15" s="198" t="n"/>
      <c r="G15" s="198" t="n"/>
      <c r="H15" s="198" t="n"/>
      <c r="I15" s="198" t="n"/>
      <c r="J15" s="198" t="n"/>
      <c r="K15" s="199" t="n"/>
      <c r="L15" s="200" t="n"/>
      <c r="M15" s="201" t="n"/>
      <c r="N15" s="199" t="n"/>
      <c r="O15" s="202">
        <f>M15*L15</f>
        <v/>
      </c>
      <c r="P15" s="186" t="n"/>
      <c r="Q15" s="203" t="n"/>
      <c r="T15" s="204" t="n"/>
      <c r="U15" s="206">
        <f>L15*T15</f>
        <v/>
      </c>
      <c r="V15" s="205">
        <f>O15-U15</f>
        <v/>
      </c>
      <c r="W15" s="42">
        <f>V15/O15</f>
        <v/>
      </c>
      <c r="X15" s="66" t="n"/>
      <c r="Y15" s="44" t="n"/>
      <c r="AA15" s="187" t="n"/>
    </row>
    <row r="16" ht="33" customHeight="1" s="7">
      <c r="B16" s="106" t="n">
        <v>3</v>
      </c>
      <c r="C16" s="186" t="n"/>
      <c r="D16" s="107" t="n"/>
      <c r="E16" s="198" t="n"/>
      <c r="F16" s="198" t="n"/>
      <c r="G16" s="198" t="n"/>
      <c r="H16" s="198" t="n"/>
      <c r="I16" s="198" t="n"/>
      <c r="J16" s="198" t="n"/>
      <c r="K16" s="199" t="n"/>
      <c r="L16" s="200" t="n"/>
      <c r="M16" s="201" t="n"/>
      <c r="N16" s="199" t="n"/>
      <c r="O16" s="202">
        <f>M16*L16</f>
        <v/>
      </c>
      <c r="P16" s="186" t="n"/>
      <c r="Q16" s="203" t="n"/>
      <c r="T16" s="204" t="n"/>
      <c r="U16" s="206">
        <f>L16*T16</f>
        <v/>
      </c>
      <c r="V16" s="205">
        <f>O16-U16</f>
        <v/>
      </c>
      <c r="W16" s="42">
        <f>V16/O16</f>
        <v/>
      </c>
      <c r="X16" s="43" t="n"/>
      <c r="Y16" s="44" t="n"/>
      <c r="AA16" s="187" t="n"/>
    </row>
    <row r="17" ht="33" customHeight="1" s="7">
      <c r="B17" s="106" t="n">
        <v>4</v>
      </c>
      <c r="C17" s="186" t="n"/>
      <c r="D17" s="114" t="n"/>
      <c r="E17" s="198" t="n"/>
      <c r="F17" s="198" t="n"/>
      <c r="G17" s="198" t="n"/>
      <c r="H17" s="198" t="n"/>
      <c r="I17" s="198" t="n"/>
      <c r="J17" s="198" t="n"/>
      <c r="K17" s="199" t="n"/>
      <c r="L17" s="200" t="n"/>
      <c r="M17" s="201" t="n"/>
      <c r="N17" s="199" t="n"/>
      <c r="O17" s="202">
        <f>M17*L17</f>
        <v/>
      </c>
      <c r="P17" s="186" t="n"/>
      <c r="Q17" s="203" t="n"/>
      <c r="T17" s="204" t="n"/>
      <c r="U17" s="206">
        <f>L17*T17</f>
        <v/>
      </c>
      <c r="V17" s="205">
        <f>O17-U17</f>
        <v/>
      </c>
      <c r="W17" s="42">
        <f>V17/O17</f>
        <v/>
      </c>
      <c r="X17" s="43" t="n"/>
      <c r="Y17" s="44" t="n"/>
    </row>
    <row r="18" ht="33" customHeight="1" s="7">
      <c r="B18" s="106" t="n">
        <v>5</v>
      </c>
      <c r="C18" s="186" t="n"/>
      <c r="D18" s="107" t="n"/>
      <c r="E18" s="198" t="n"/>
      <c r="F18" s="198" t="n"/>
      <c r="G18" s="198" t="n"/>
      <c r="H18" s="198" t="n"/>
      <c r="I18" s="198" t="n"/>
      <c r="J18" s="198" t="n"/>
      <c r="K18" s="199" t="n"/>
      <c r="L18" s="200" t="n"/>
      <c r="M18" s="201" t="n"/>
      <c r="N18" s="199" t="n"/>
      <c r="O18" s="202">
        <f>M18*L18</f>
        <v/>
      </c>
      <c r="P18" s="186" t="n"/>
      <c r="Q18" s="207" t="n"/>
      <c r="T18" s="204" t="n"/>
      <c r="U18" s="206">
        <f>L18*T18</f>
        <v/>
      </c>
      <c r="V18" s="205">
        <f>O18-U18</f>
        <v/>
      </c>
      <c r="W18" s="42">
        <f>V18/O18</f>
        <v/>
      </c>
      <c r="X18" s="43" t="n"/>
      <c r="Y18" s="44" t="n"/>
    </row>
    <row r="19" ht="33" customHeight="1" s="7">
      <c r="B19" s="106" t="n">
        <v>6</v>
      </c>
      <c r="C19" s="186" t="n"/>
      <c r="D19" s="208" t="n"/>
      <c r="E19" s="195" t="n"/>
      <c r="F19" s="195" t="n"/>
      <c r="G19" s="195" t="n"/>
      <c r="H19" s="195" t="n"/>
      <c r="I19" s="195" t="n"/>
      <c r="J19" s="195" t="n"/>
      <c r="K19" s="209" t="n"/>
      <c r="L19" s="210" t="n"/>
      <c r="M19" s="211" t="n"/>
      <c r="N19" s="209" t="n"/>
      <c r="O19" s="202">
        <f>M19*L19</f>
        <v/>
      </c>
      <c r="P19" s="186" t="n"/>
      <c r="Q19" s="203" t="n"/>
      <c r="T19" s="204" t="n"/>
      <c r="U19" s="206">
        <f>L19*T19</f>
        <v/>
      </c>
      <c r="V19" s="205">
        <f>O19-U19</f>
        <v/>
      </c>
      <c r="W19" s="42">
        <f>V19/O19</f>
        <v/>
      </c>
      <c r="X19" s="43" t="n"/>
      <c r="Y19" s="44" t="n"/>
    </row>
    <row r="20" ht="33" customHeight="1" s="7">
      <c r="B20" s="106" t="n">
        <v>7</v>
      </c>
      <c r="C20" s="186" t="n"/>
      <c r="D20" s="107" t="n"/>
      <c r="E20" s="198" t="n"/>
      <c r="F20" s="198" t="n"/>
      <c r="G20" s="198" t="n"/>
      <c r="H20" s="198" t="n"/>
      <c r="I20" s="198" t="n"/>
      <c r="J20" s="198" t="n"/>
      <c r="K20" s="199" t="n"/>
      <c r="L20" s="200" t="n"/>
      <c r="M20" s="201" t="n"/>
      <c r="N20" s="199" t="n"/>
      <c r="O20" s="202">
        <f>M20*L20</f>
        <v/>
      </c>
      <c r="P20" s="186" t="n"/>
      <c r="Q20" s="203" t="n"/>
      <c r="T20" s="204" t="n"/>
      <c r="U20" s="206">
        <f>L20*T20</f>
        <v/>
      </c>
      <c r="V20" s="205">
        <f>O20-U20</f>
        <v/>
      </c>
      <c r="W20" s="42">
        <f>V20/O20</f>
        <v/>
      </c>
      <c r="X20" s="43" t="n"/>
      <c r="Y20" s="44" t="n"/>
    </row>
    <row r="21" ht="33" customHeight="1" s="7">
      <c r="B21" s="106" t="n">
        <v>8</v>
      </c>
      <c r="C21" s="186" t="n"/>
      <c r="D21" s="107" t="n"/>
      <c r="E21" s="198" t="n"/>
      <c r="F21" s="198" t="n"/>
      <c r="G21" s="198" t="n"/>
      <c r="H21" s="198" t="n"/>
      <c r="I21" s="198" t="n"/>
      <c r="J21" s="198" t="n"/>
      <c r="K21" s="199" t="n"/>
      <c r="L21" s="200" t="n"/>
      <c r="M21" s="201" t="n"/>
      <c r="N21" s="199" t="n"/>
      <c r="O21" s="202">
        <f>M21*L21</f>
        <v/>
      </c>
      <c r="P21" s="186" t="n"/>
      <c r="Q21" s="212" t="n"/>
      <c r="T21" s="204" t="n"/>
      <c r="U21" s="206">
        <f>L21*T21</f>
        <v/>
      </c>
      <c r="V21" s="205">
        <f>O21-U21</f>
        <v/>
      </c>
      <c r="W21" s="42">
        <f>V21/O21</f>
        <v/>
      </c>
      <c r="X21" s="43" t="n"/>
      <c r="Y21" s="44" t="n"/>
    </row>
    <row r="22" ht="33" customHeight="1" s="7">
      <c r="B22" s="106" t="n">
        <v>9</v>
      </c>
      <c r="C22" s="186" t="n"/>
      <c r="D22" s="107" t="n"/>
      <c r="E22" s="198" t="n"/>
      <c r="F22" s="198" t="n"/>
      <c r="G22" s="198" t="n"/>
      <c r="H22" s="198" t="n"/>
      <c r="I22" s="198" t="n"/>
      <c r="J22" s="198" t="n"/>
      <c r="K22" s="199" t="n"/>
      <c r="L22" s="200" t="n"/>
      <c r="M22" s="201" t="n"/>
      <c r="N22" s="199" t="n"/>
      <c r="O22" s="202">
        <f>M22*L22</f>
        <v/>
      </c>
      <c r="P22" s="186" t="n"/>
      <c r="Q22" s="212" t="n"/>
      <c r="T22" s="204" t="n"/>
      <c r="U22" s="206">
        <f>L22*T22</f>
        <v/>
      </c>
      <c r="V22" s="205">
        <f>O22-U22</f>
        <v/>
      </c>
      <c r="W22" s="42">
        <f>V22/O22</f>
        <v/>
      </c>
      <c r="X22" s="213" t="n"/>
      <c r="Y22" s="44" t="n"/>
    </row>
    <row r="23" ht="33" customHeight="1" s="7">
      <c r="B23" s="106" t="n">
        <v>10</v>
      </c>
      <c r="C23" s="186" t="n"/>
      <c r="D23" s="107" t="n"/>
      <c r="E23" s="198" t="n"/>
      <c r="F23" s="198" t="n"/>
      <c r="G23" s="198" t="n"/>
      <c r="H23" s="198" t="n"/>
      <c r="I23" s="198" t="n"/>
      <c r="J23" s="198" t="n"/>
      <c r="K23" s="199" t="n"/>
      <c r="L23" s="200" t="n"/>
      <c r="M23" s="201" t="n"/>
      <c r="N23" s="199" t="n"/>
      <c r="O23" s="202">
        <f>M23*L23</f>
        <v/>
      </c>
      <c r="P23" s="186" t="n"/>
      <c r="Q23" s="212" t="n"/>
      <c r="T23" s="204" t="n"/>
      <c r="U23" s="206">
        <f>L23*T23</f>
        <v/>
      </c>
      <c r="V23" s="205">
        <f>O23-U23</f>
        <v/>
      </c>
      <c r="W23" s="42">
        <f>V23/O23</f>
        <v/>
      </c>
      <c r="X23" s="213" t="n"/>
      <c r="Y23" s="44" t="n"/>
    </row>
    <row r="24" ht="21" customHeight="1" s="7">
      <c r="B24" s="214" t="inlineStr">
        <is>
          <t>견적
참고
사항</t>
        </is>
      </c>
      <c r="C24" s="215" t="n"/>
      <c r="D24" s="128" t="inlineStr">
        <is>
          <t>* 지급 조건 : 익월 말 현금</t>
        </is>
      </c>
      <c r="E24" s="216" t="n"/>
      <c r="F24" s="216" t="n"/>
      <c r="G24" s="216" t="n"/>
      <c r="H24" s="216" t="n"/>
      <c r="I24" s="130" t="inlineStr">
        <is>
          <t>* 납품 기일 : 발주 후 3 영업일 이내</t>
        </is>
      </c>
      <c r="J24" s="216" t="n"/>
      <c r="K24" s="216" t="n"/>
      <c r="L24" s="217" t="n"/>
      <c r="M24" s="218" t="inlineStr">
        <is>
          <t>공급가액</t>
        </is>
      </c>
      <c r="N24" s="186" t="n"/>
      <c r="O24" s="219">
        <f>SUM(O14:P23)</f>
        <v/>
      </c>
      <c r="P24" s="186" t="n"/>
      <c r="Q24" s="220" t="n"/>
      <c r="T24" s="204">
        <f>SUM(T14:T23)</f>
        <v/>
      </c>
      <c r="U24" s="204">
        <f>SUM(U14:U23)</f>
        <v/>
      </c>
      <c r="V24" s="204">
        <f>SUM(V14:V23)</f>
        <v/>
      </c>
      <c r="W24" s="42">
        <f>V24/O24</f>
        <v/>
      </c>
      <c r="X24" s="43" t="n"/>
      <c r="Y24" s="44" t="n"/>
    </row>
    <row r="25" ht="21" customHeight="1" s="7">
      <c r="B25" s="221" t="n"/>
      <c r="C25" s="222" t="n"/>
      <c r="D25" s="223" t="inlineStr">
        <is>
          <t xml:space="preserve"> - 견적 유효 기간 2주일.</t>
        </is>
      </c>
      <c r="E25" s="5" t="n"/>
      <c r="F25" s="5" t="n"/>
      <c r="G25" s="5" t="n"/>
      <c r="H25" s="5" t="n"/>
      <c r="I25" s="5" t="n"/>
      <c r="J25" s="5" t="n"/>
      <c r="K25" s="5" t="n"/>
      <c r="L25" s="224" t="n"/>
      <c r="M25" s="218" t="inlineStr">
        <is>
          <t>부가세</t>
        </is>
      </c>
      <c r="N25" s="186" t="n"/>
      <c r="O25" s="225">
        <f>O24*0.1</f>
        <v/>
      </c>
      <c r="P25" s="186" t="n"/>
      <c r="Q25" s="220" t="n"/>
      <c r="Y25" s="44" t="n"/>
    </row>
    <row r="26" ht="21" customHeight="1" s="7">
      <c r="B26" s="226" t="n"/>
      <c r="C26" s="185" t="n"/>
      <c r="D26" s="227" t="n"/>
      <c r="E26" s="195" t="n"/>
      <c r="F26" s="195" t="n"/>
      <c r="G26" s="195" t="n"/>
      <c r="H26" s="195" t="n"/>
      <c r="I26" s="195" t="n"/>
      <c r="J26" s="195" t="n"/>
      <c r="K26" s="195" t="n"/>
      <c r="L26" s="209" t="n"/>
      <c r="M26" s="218" t="inlineStr">
        <is>
          <t>총 합계</t>
        </is>
      </c>
      <c r="N26" s="186" t="n"/>
      <c r="O26" s="225">
        <f>SUM(O24:P25)</f>
        <v/>
      </c>
      <c r="P26" s="186" t="n"/>
      <c r="Q26" s="220" t="n"/>
      <c r="W26" s="187" t="n"/>
      <c r="X26" s="49" t="n"/>
    </row>
    <row r="27" ht="6.75" customHeight="1" s="7"/>
    <row r="28" ht="6.75" customHeight="1" s="7">
      <c r="B28" s="143" t="n"/>
    </row>
    <row r="29" ht="13.5" customHeight="1" s="7"/>
    <row r="30" ht="12.75" customHeight="1" s="7">
      <c r="B30" s="144" t="inlineStr">
        <is>
          <t>견적서를 검토하신 후, 하단의 내용을 작성하여 회신해주시는 경우, 본 내용은 발주서를 대체하는 효력을 가집니다.</t>
        </is>
      </c>
    </row>
    <row r="31" ht="6.75" customHeight="1" s="7"/>
    <row r="32" ht="22.5" customHeight="1" s="7">
      <c r="B32" s="197" t="inlineStr">
        <is>
          <t>고객 정보</t>
        </is>
      </c>
      <c r="C32" s="189" t="n"/>
      <c r="D32" s="189" t="n"/>
      <c r="E32" s="189" t="n"/>
      <c r="F32" s="189" t="n"/>
      <c r="G32" s="189" t="n"/>
      <c r="H32" s="189" t="n"/>
      <c r="I32" s="189" t="n"/>
      <c r="J32" s="189" t="n"/>
      <c r="K32" s="189" t="n"/>
      <c r="L32" s="189" t="n"/>
      <c r="M32" s="189" t="n"/>
      <c r="N32" s="189" t="n"/>
      <c r="O32" s="189" t="n"/>
      <c r="P32" s="189" t="n"/>
      <c r="Q32" s="186" t="n"/>
      <c r="V32" s="191" t="n"/>
      <c r="W32" s="191" t="n"/>
    </row>
    <row r="33" ht="25.5" customFormat="1" customHeight="1" s="51">
      <c r="B33" s="228" t="inlineStr">
        <is>
          <t xml:space="preserve"> 고객사명 (국문) *</t>
        </is>
      </c>
      <c r="C33" s="189" t="n"/>
      <c r="D33" s="189" t="n"/>
      <c r="E33" s="186" t="n"/>
      <c r="F33" s="229" t="n"/>
      <c r="G33" s="198" t="n"/>
      <c r="H33" s="199" t="n"/>
      <c r="I33" s="145" t="inlineStr">
        <is>
          <t xml:space="preserve"> 고객사명 (영문)</t>
        </is>
      </c>
      <c r="J33" s="189" t="n"/>
      <c r="K33" s="229" t="n"/>
      <c r="L33" s="198" t="n"/>
      <c r="M33" s="199" t="n"/>
      <c r="N33" s="228" t="inlineStr">
        <is>
          <t xml:space="preserve"> 사업자등록번호</t>
        </is>
      </c>
      <c r="O33" s="186" t="n"/>
      <c r="P33" s="230" t="n"/>
      <c r="Q33" s="199" t="n"/>
      <c r="W33" s="231" t="n"/>
    </row>
    <row r="34" ht="25.5" customFormat="1" customHeight="1" s="51">
      <c r="B34" s="228" t="inlineStr">
        <is>
          <t xml:space="preserve"> 주소 (국문) *</t>
        </is>
      </c>
      <c r="C34" s="189" t="n"/>
      <c r="D34" s="189" t="n"/>
      <c r="E34" s="186" t="n"/>
      <c r="F34" s="230" t="n"/>
      <c r="G34" s="198" t="n"/>
      <c r="H34" s="198" t="n"/>
      <c r="I34" s="198" t="n"/>
      <c r="J34" s="198" t="n"/>
      <c r="K34" s="198" t="n"/>
      <c r="L34" s="198" t="n"/>
      <c r="M34" s="198" t="n"/>
      <c r="N34" s="198" t="n"/>
      <c r="O34" s="198" t="n"/>
      <c r="P34" s="198" t="n"/>
      <c r="Q34" s="199" t="n"/>
      <c r="W34" s="232" t="n"/>
    </row>
    <row r="35" ht="25.5" customFormat="1" customHeight="1" s="51">
      <c r="B35" s="228" t="inlineStr">
        <is>
          <t xml:space="preserve"> 주소 (영문)</t>
        </is>
      </c>
      <c r="C35" s="189" t="n"/>
      <c r="D35" s="189" t="n"/>
      <c r="E35" s="186" t="n"/>
      <c r="F35" s="230" t="n"/>
      <c r="G35" s="198" t="n"/>
      <c r="H35" s="198" t="n"/>
      <c r="I35" s="198" t="n"/>
      <c r="J35" s="198" t="n"/>
      <c r="K35" s="198" t="n"/>
      <c r="L35" s="198" t="n"/>
      <c r="M35" s="198" t="n"/>
      <c r="N35" s="198" t="n"/>
      <c r="O35" s="198" t="n"/>
      <c r="P35" s="198" t="n"/>
      <c r="Q35" s="199" t="n"/>
    </row>
    <row r="36" ht="25.5" customHeight="1" s="7">
      <c r="B36" s="228" t="inlineStr">
        <is>
          <t xml:space="preserve"> 결제예정일 *</t>
        </is>
      </c>
      <c r="C36" s="189" t="n"/>
      <c r="D36" s="189" t="n"/>
      <c r="E36" s="186" t="n"/>
      <c r="F36" s="229" t="n"/>
      <c r="G36" s="198" t="n"/>
      <c r="H36" s="198" t="n"/>
      <c r="I36" s="198" t="n"/>
      <c r="J36" s="199" t="n"/>
      <c r="K36" s="233" t="inlineStr">
        <is>
          <t xml:space="preserve"> 세금계산서 수신 E-mail *</t>
        </is>
      </c>
      <c r="L36" s="189" t="n"/>
      <c r="M36" s="186" t="n"/>
      <c r="N36" s="150" t="n"/>
      <c r="O36" s="198" t="n"/>
      <c r="P36" s="198" t="n"/>
      <c r="Q36" s="199" t="n"/>
    </row>
    <row r="37" ht="25.5" customHeight="1" s="7">
      <c r="B37" s="234" t="inlineStr">
        <is>
          <t>IT
담당자
/사용자</t>
        </is>
      </c>
      <c r="C37" s="235" t="n"/>
      <c r="D37" s="215" t="n"/>
      <c r="E37" s="236" t="inlineStr">
        <is>
          <t xml:space="preserve"> 담당자명(국문/영문)</t>
        </is>
      </c>
      <c r="F37" s="186" t="n"/>
      <c r="G37" s="237" t="n"/>
      <c r="H37" s="198" t="n"/>
      <c r="I37" s="198" t="n"/>
      <c r="J37" s="198" t="n"/>
      <c r="K37" s="199" t="n"/>
      <c r="L37" s="228" t="inlineStr">
        <is>
          <t xml:space="preserve"> 담당자 연락처</t>
        </is>
      </c>
      <c r="M37" s="186" t="n"/>
      <c r="N37" s="230" t="n"/>
      <c r="O37" s="198" t="n"/>
      <c r="P37" s="198" t="n"/>
      <c r="Q37" s="199" t="n"/>
    </row>
    <row r="38" ht="25.5" customHeight="1" s="7">
      <c r="B38" s="226" t="n"/>
      <c r="C38" s="238" t="n"/>
      <c r="D38" s="185" t="n"/>
      <c r="E38" s="228" t="inlineStr">
        <is>
          <t xml:space="preserve"> 라이선스 발급 E-mail</t>
        </is>
      </c>
      <c r="F38" s="186" t="n"/>
      <c r="G38" s="230" t="n"/>
      <c r="H38" s="198" t="n"/>
      <c r="I38" s="198" t="n"/>
      <c r="J38" s="198" t="n"/>
      <c r="K38" s="198" t="n"/>
      <c r="L38" s="198" t="n"/>
      <c r="M38" s="198" t="n"/>
      <c r="N38" s="198" t="n"/>
      <c r="O38" s="198" t="n"/>
      <c r="P38" s="198" t="n"/>
      <c r="Q38" s="199" t="n"/>
    </row>
    <row r="39" ht="15" customHeight="1" s="7"/>
    <row r="40" ht="12.75" customHeight="1" s="7">
      <c r="B40" s="153" t="inlineStr">
        <is>
          <t>* 당사는 이 견적서의 가격 및 견적 조건을 확인하였으며, 이 견적서를 공식 발주서로 대신하고자 합니다.</t>
        </is>
      </c>
    </row>
    <row r="41" ht="12.75" customHeight="1" s="7">
      <c r="B41" s="153" t="n"/>
      <c r="C41" s="153" t="n"/>
      <c r="D41" s="153" t="n"/>
      <c r="E41" s="153" t="n"/>
      <c r="F41" s="153" t="n"/>
      <c r="G41" s="153" t="n"/>
      <c r="H41" s="153" t="n"/>
      <c r="I41" s="153" t="n"/>
      <c r="J41" s="153" t="n"/>
      <c r="K41" s="153" t="n"/>
      <c r="L41" s="153" t="n"/>
      <c r="M41" s="153" t="n"/>
      <c r="N41" s="153" t="n"/>
      <c r="O41" s="153" t="n"/>
      <c r="P41" s="153" t="n"/>
      <c r="Q41" s="153" t="n"/>
    </row>
    <row r="42" ht="18" customHeight="1" s="7">
      <c r="B42" s="153" t="n"/>
      <c r="H42" s="154" t="inlineStr">
        <is>
          <t>______________년 ________월 _________일</t>
        </is>
      </c>
      <c r="I42" s="5" t="n"/>
      <c r="J42" s="5" t="n"/>
      <c r="K42" s="5" t="n"/>
      <c r="L42" s="5" t="n"/>
      <c r="M42" s="5" t="n"/>
      <c r="N42" s="155" t="inlineStr">
        <is>
          <t>대표(이사) : ___________________________(인)</t>
        </is>
      </c>
      <c r="O42" s="5" t="n"/>
      <c r="P42" s="5" t="n"/>
      <c r="Q42" s="5" t="n"/>
    </row>
    <row r="43" ht="30" customHeight="1" s="7">
      <c r="B43" s="156" t="n"/>
      <c r="C43" s="5" t="n"/>
      <c r="D43" s="157" t="n"/>
      <c r="E43" s="5" t="n"/>
      <c r="F43" s="5" t="n"/>
      <c r="G43" s="5" t="n"/>
      <c r="H43" s="5" t="n"/>
      <c r="I43" s="5" t="n"/>
      <c r="J43" s="5" t="n"/>
      <c r="K43" s="5" t="n"/>
      <c r="L43" s="239" t="n"/>
      <c r="M43" s="240" t="n"/>
      <c r="O43" s="240" t="n"/>
      <c r="Q43" s="241" t="n"/>
    </row>
    <row r="46" ht="13.15" customHeight="1" s="7">
      <c r="G46" s="56" t="n"/>
    </row>
    <row r="47" ht="18" customHeight="1" s="7">
      <c r="A47" s="57" t="n"/>
      <c r="B47" s="57" t="inlineStr">
        <is>
          <t>Your IT Navigator</t>
        </is>
      </c>
      <c r="C47" s="57" t="n"/>
      <c r="D47" s="57" t="n"/>
      <c r="E47" s="57" t="n"/>
      <c r="F47" s="57" t="n"/>
      <c r="G47" s="57" t="n"/>
      <c r="H47" s="57" t="n"/>
      <c r="I47" s="57" t="n"/>
      <c r="J47" s="57" t="n"/>
      <c r="K47" s="57" t="n"/>
      <c r="L47" s="57" t="n"/>
      <c r="M47" s="57" t="n"/>
      <c r="N47" s="57" t="n"/>
      <c r="O47" s="57" t="n"/>
      <c r="P47" s="57" t="n"/>
      <c r="Q47" s="58" t="inlineStr">
        <is>
          <t xml:space="preserve">www.QVREX.co.kr   </t>
        </is>
      </c>
      <c r="R47" s="58" t="n"/>
    </row>
  </sheetData>
  <mergeCells count="111">
    <mergeCell ref="M43:N43"/>
    <mergeCell ref="C6:D6"/>
    <mergeCell ref="F33:H33"/>
    <mergeCell ref="B40:Q40"/>
    <mergeCell ref="C4:F5"/>
    <mergeCell ref="B22:C22"/>
    <mergeCell ref="O15:P15"/>
    <mergeCell ref="B36:E36"/>
    <mergeCell ref="B21:C21"/>
    <mergeCell ref="N36:Q36"/>
    <mergeCell ref="B32:Q32"/>
    <mergeCell ref="M10:N10"/>
    <mergeCell ref="L3:L8"/>
    <mergeCell ref="F36:J36"/>
    <mergeCell ref="B14:C14"/>
    <mergeCell ref="O26:P26"/>
    <mergeCell ref="N5:O5"/>
    <mergeCell ref="E7:G7"/>
    <mergeCell ref="M16:N16"/>
    <mergeCell ref="B13:C13"/>
    <mergeCell ref="D17:K17"/>
    <mergeCell ref="M25:N25"/>
    <mergeCell ref="O16:P16"/>
    <mergeCell ref="I10:K10"/>
    <mergeCell ref="O25:P25"/>
    <mergeCell ref="H42:M42"/>
    <mergeCell ref="O43:P43"/>
    <mergeCell ref="D43:K43"/>
    <mergeCell ref="M18:N18"/>
    <mergeCell ref="E10:H10"/>
    <mergeCell ref="M17:N17"/>
    <mergeCell ref="O17:P17"/>
    <mergeCell ref="O11:P11"/>
    <mergeCell ref="B37:D38"/>
    <mergeCell ref="K36:M36"/>
    <mergeCell ref="Q3:Q4"/>
    <mergeCell ref="P33:Q33"/>
    <mergeCell ref="M19:N19"/>
    <mergeCell ref="C3:D3"/>
    <mergeCell ref="E3:F3"/>
    <mergeCell ref="D20:K20"/>
    <mergeCell ref="B16:C16"/>
    <mergeCell ref="N7:O7"/>
    <mergeCell ref="B33:E33"/>
    <mergeCell ref="D22:K22"/>
    <mergeCell ref="B18:C18"/>
    <mergeCell ref="E6:G6"/>
    <mergeCell ref="E38:F38"/>
    <mergeCell ref="B35:E35"/>
    <mergeCell ref="D21:K21"/>
    <mergeCell ref="G38:Q38"/>
    <mergeCell ref="G37:K37"/>
    <mergeCell ref="M13:N13"/>
    <mergeCell ref="M21:N21"/>
    <mergeCell ref="O21:P21"/>
    <mergeCell ref="D16:K16"/>
    <mergeCell ref="I33:J33"/>
    <mergeCell ref="N42:Q42"/>
    <mergeCell ref="C8:D8"/>
    <mergeCell ref="D18:K18"/>
    <mergeCell ref="K33:M33"/>
    <mergeCell ref="M24:N24"/>
    <mergeCell ref="B15:C15"/>
    <mergeCell ref="E8:G8"/>
    <mergeCell ref="I24:L24"/>
    <mergeCell ref="B28:Q28"/>
    <mergeCell ref="O19:P19"/>
    <mergeCell ref="D19:K19"/>
    <mergeCell ref="N6:Q6"/>
    <mergeCell ref="B30:Q30"/>
    <mergeCell ref="F35:Q35"/>
    <mergeCell ref="B43:C43"/>
    <mergeCell ref="M11:N11"/>
    <mergeCell ref="O20:P20"/>
    <mergeCell ref="M3:M4"/>
    <mergeCell ref="D13:K13"/>
    <mergeCell ref="N33:O33"/>
    <mergeCell ref="B17:C17"/>
    <mergeCell ref="N8:O8"/>
    <mergeCell ref="O22:P22"/>
    <mergeCell ref="M15:N15"/>
    <mergeCell ref="B19:C19"/>
    <mergeCell ref="M26:N26"/>
    <mergeCell ref="F34:Q34"/>
    <mergeCell ref="C7:D7"/>
    <mergeCell ref="D15:K15"/>
    <mergeCell ref="M23:N23"/>
    <mergeCell ref="B20:C20"/>
    <mergeCell ref="O23:P23"/>
    <mergeCell ref="B34:E34"/>
    <mergeCell ref="D25:L26"/>
    <mergeCell ref="B42:G42"/>
    <mergeCell ref="O10:P10"/>
    <mergeCell ref="O24:P24"/>
    <mergeCell ref="O18:P18"/>
    <mergeCell ref="L37:M37"/>
    <mergeCell ref="C10:D10"/>
    <mergeCell ref="M20:N20"/>
    <mergeCell ref="B23:C23"/>
    <mergeCell ref="M22:N22"/>
    <mergeCell ref="N37:Q37"/>
    <mergeCell ref="B12:Q12"/>
    <mergeCell ref="B24:C26"/>
    <mergeCell ref="D24:H24"/>
    <mergeCell ref="B1:Q1"/>
    <mergeCell ref="M14:N14"/>
    <mergeCell ref="O14:P14"/>
    <mergeCell ref="E37:F37"/>
    <mergeCell ref="D14:K14"/>
    <mergeCell ref="D23:K23"/>
    <mergeCell ref="O13:P13"/>
  </mergeCells>
  <dataValidations count="1">
    <dataValidation sqref="B14 B36" showDropDown="1" showInputMessage="1" showErrorMessage="1" allowBlank="1" type="whole">
      <formula1>1</formula1>
      <formula2>100</formula2>
    </dataValidation>
  </dataValidations>
  <printOptions horizontalCentered="1" verticalCentered="1"/>
  <pageMargins left="0" right="0" top="0" bottom="0" header="0" footer="0"/>
  <pageSetup orientation="portrait" paperSize="9" scale="72"/>
  <drawing xmlns:r="http://schemas.openxmlformats.org/officeDocument/2006/relationships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문서" ma:contentTypeID="0x0101003D990D690709BB44A1821DC27E7CA1AB" ma:contentTypeVersion="19" ma:contentTypeDescription="새 문서를 만듭니다." ma:contentTypeScope="" ma:versionID="94a4a24d3db44c59d619ceed2e810257">
  <xsd:schema xmlns:xsd="http://www.w3.org/2001/XMLSchema" xmlns:xs="http://www.w3.org/2001/XMLSchema" xmlns:p="http://schemas.microsoft.com/office/2006/metadata/properties" xmlns:ns2="b08be9c2-0c1a-4717-9f14-d7720159b530" xmlns:ns3="9c3c5594-c170-4f6a-b3bd-ec9b74c73275" targetNamespace="http://schemas.microsoft.com/office/2006/metadata/properties" ma:root="true" ma:fieldsID="cfa97b280815ae6e386fe7959c5e1a05" ns2:_="" ns3:_="">
    <xsd:import namespace="b08be9c2-0c1a-4717-9f14-d7720159b530"/>
    <xsd:import namespace="9c3c5594-c170-4f6a-b3bd-ec9b74c73275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DateTaken" minOccurs="0"/>
                <xsd:element ref="ns2:MediaServiceLocation" minOccurs="0"/>
                <xsd:element ref="ns3:SharedWithUsers" minOccurs="0"/>
                <xsd:element ref="ns3:SharedWithDetails" minOccurs="0"/>
                <xsd:element ref="ns2:MediaServiceAutoKeyPoints" minOccurs="0"/>
                <xsd:element ref="ns2:MediaServiceKeyPoints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SearchProperties" minOccurs="0"/>
                <xsd:element ref="ns2:MediaServiceObjectDetectorVersions" minOccurs="0"/>
                <xsd:element ref="ns2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08be9c2-0c1a-4717-9f14-d7720159b530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CR" ma:index="10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3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4" nillable="true" ma:displayName="Location" ma:internalName="MediaServiceLocation" ma:readOnly="true">
      <xsd:simpleType>
        <xsd:restriction base="dms:Text"/>
      </xsd:simpleType>
    </xsd:element>
    <xsd:element name="MediaServiceAutoKeyPoints" ma:index="17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8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LengthInSeconds" ma:index="19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21" nillable="true" ma:taxonomy="true" ma:internalName="lcf76f155ced4ddcb4097134ff3c332f" ma:taxonomyFieldName="MediaServiceImageTags" ma:displayName="이미지 태그" ma:readOnly="false" ma:fieldId="{5cf76f15-5ced-4ddc-b409-7134ff3c332f}" ma:taxonomyMulti="true" ma:sspId="dd526568-cafe-47af-9bad-8adf5afaa34a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SearchProperties" ma:index="23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24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BillingMetadata" ma:index="25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c3c5594-c170-4f6a-b3bd-ec9b74c73275" elementFormDefault="qualified">
    <xsd:import namespace="http://schemas.microsoft.com/office/2006/documentManagement/types"/>
    <xsd:import namespace="http://schemas.microsoft.com/office/infopath/2007/PartnerControls"/>
    <xsd:element name="SharedWithUsers" ma:index="15" nillable="true" ma:displayName="공유 대상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6" nillable="true" ma:displayName="세부 정보 공유" ma:internalName="SharedWithDetails" ma:readOnly="true">
      <xsd:simpleType>
        <xsd:restriction base="dms:Note">
          <xsd:maxLength value="255"/>
        </xsd:restriction>
      </xsd:simpleType>
    </xsd:element>
    <xsd:element name="TaxCatchAll" ma:index="22" nillable="true" ma:displayName="Taxonomy Catch All Column" ma:hidden="true" ma:list="{c318299e-4a38-417c-9eea-44c38156861c}" ma:internalName="TaxCatchAll" ma:showField="CatchAllData" ma:web="9c3c5594-c170-4f6a-b3bd-ec9b74c73275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콘텐츠 형식"/>
        <xsd:element ref="dc:title" minOccurs="0" maxOccurs="1" ma:index="4" ma:displayName="제목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9c3c5594-c170-4f6a-b3bd-ec9b74c73275" xsi:nil="true"/>
    <lcf76f155ced4ddcb4097134ff3c332f xmlns="b08be9c2-0c1a-4717-9f14-d7720159b530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57ECD138-644B-4D5A-AA5C-F4B42F3746A2}"/>
</file>

<file path=customXml/itemProps2.xml><?xml version="1.0" encoding="utf-8"?>
<ds:datastoreItem xmlns:ds="http://schemas.openxmlformats.org/officeDocument/2006/customXml" ds:itemID="{FA9E2862-3C4A-4547-9029-0FDB832E9FC5}"/>
</file>

<file path=customXml/itemProps3.xml><?xml version="1.0" encoding="utf-8"?>
<ds:datastoreItem xmlns:ds="http://schemas.openxmlformats.org/officeDocument/2006/customXml" ds:itemID="{67EDA1EC-F4AF-4C7F-865F-564E90438A11}"/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QV2021</dc:creator>
  <cp:lastModifiedBy>김한경</cp:lastModifiedBy>
  <cp:lastPrinted>2025-06-17T02:23:57Z</cp:lastPrinted>
  <dcterms:created xsi:type="dcterms:W3CDTF">2021-12-09T03:53:36Z</dcterms:created>
  <dcterms:modified xsi:type="dcterms:W3CDTF">2025-07-30T04:55:41Z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0x0101003D990D690709BB44A1821DC27E7CA1AB</vt:lpwstr>
  </property>
  <property fmtid="{D5CDD505-2E9C-101B-9397-08002B2CF9AE}" pid="3" name="MediaServiceImageTags">
    <vt:lpwstr/>
  </property>
</Properties>
</file>