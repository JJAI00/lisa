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B1B4F7044AA107192D0944D01768F8332EB32D76" xr6:coauthVersionLast="47" xr6:coauthVersionMax="47" xr10:uidLastSave="{1FBAE5D0-0432-4113-AA2E-9CC3D721F2D4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1" l="1"/>
  <c r="T24" i="1"/>
  <c r="O24" i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O20" i="1"/>
  <c r="V20" i="1" s="1"/>
  <c r="W20" i="1" s="1"/>
  <c r="U19" i="1"/>
  <c r="O19" i="1"/>
  <c r="V19" i="1" s="1"/>
  <c r="W19" i="1" s="1"/>
  <c r="U18" i="1"/>
  <c r="V18" i="1" s="1"/>
  <c r="W18" i="1" s="1"/>
  <c r="O18" i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U14" i="1"/>
  <c r="O14" i="1"/>
  <c r="V14" i="1" s="1"/>
  <c r="W14" i="1" l="1"/>
  <c r="V24" i="1"/>
  <c r="W24" i="1" s="1"/>
  <c r="O25" i="1"/>
  <c r="O26" i="1" s="1"/>
  <c r="E10" i="1" s="1"/>
</calcChain>
</file>

<file path=xl/sharedStrings.xml><?xml version="1.0" encoding="utf-8"?>
<sst xmlns="http://schemas.openxmlformats.org/spreadsheetml/2006/main" count="72" uniqueCount="72">
  <si>
    <t xml:space="preserve"> *   견 적 서   *</t>
  </si>
  <si>
    <t>견적일자</t>
  </si>
  <si>
    <t>공
급
자</t>
  </si>
  <si>
    <t>상  호</t>
  </si>
  <si>
    <t>큐브렉스</t>
  </si>
  <si>
    <t>미디어캔 증미지점 - 하코그래픽솔루션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</si>
  <si>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</si>
  <si>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</si>
  <si>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</si>
  <si>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</si>
  <si>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</si>
  <si>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</si>
  <si>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</si>
  <si>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</si>
  <si>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</si>
  <si>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</si>
  <si>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</si>
  <si>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</si>
  <si>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</si>
  <si>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</si>
  <si>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</si>
  <si>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</si>
  <si>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</si>
  <si>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</si>
  <si>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</si>
  <si>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</si>
  <si>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</si>
  <si>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</si>
  <si>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</si>
  <si>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</si>
  <si>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</si>
  <si>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</si>
  <si>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</si>
  <si>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</si>
  <si>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</si>
  <si>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</si>
  <si>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</si>
  <si>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</si>
  <si>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</si>
  <si>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</si>
  <si>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</si>
  <si>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</si>
  <si>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</si>
  <si>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</si>
  <si>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</si>
  <si>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Sapphire (Adobe/OFX ) Annual - Renewal</t>
  </si>
  <si>
    <t>2025-09-20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</si>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</sst>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C4" sqref="C4:F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45887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737000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670000</v>
      </c>
      <c r="N14" s="80"/>
      <c r="O14" s="87">
        <f t="shared" ref="O14:O23" si="0">M14*L14</f>
        <v>670000</v>
      </c>
      <c r="P14" s="86"/>
      <c r="Q14" s="64" t="s">
        <v>46</v>
      </c>
      <c r="T14" s="39">
        <v>636342</v>
      </c>
      <c r="U14" s="39">
        <f>T14*L14</f>
        <v>636342</v>
      </c>
      <c r="V14" s="41">
        <f t="shared" ref="V14:V23" si="1">O14-U14</f>
        <v>33658</v>
      </c>
      <c r="W14" s="42">
        <f t="shared" ref="W14:W24" si="2">V14/O14</f>
        <v>5.0235820895522386E-2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47</v>
      </c>
      <c r="C24" s="112"/>
      <c r="D24" s="149" t="s">
        <v>48</v>
      </c>
      <c r="E24" s="130"/>
      <c r="F24" s="130"/>
      <c r="G24" s="130"/>
      <c r="H24" s="130"/>
      <c r="I24" s="129" t="s">
        <v>49</v>
      </c>
      <c r="J24" s="130"/>
      <c r="K24" s="130"/>
      <c r="L24" s="131"/>
      <c r="M24" s="103" t="s">
        <v>50</v>
      </c>
      <c r="N24" s="86"/>
      <c r="O24" s="144">
        <f>SUM(O14:P23)</f>
        <v>670000</v>
      </c>
      <c r="P24" s="86"/>
      <c r="Q24" s="48"/>
      <c r="T24" s="39">
        <f>SUM(T14:T23)</f>
        <v>636342</v>
      </c>
      <c r="U24" s="39">
        <f>SUM(U14:U23)</f>
        <v>636342</v>
      </c>
      <c r="V24" s="39">
        <f>SUM(V14:V23)</f>
        <v>33658</v>
      </c>
      <c r="W24" s="42">
        <f t="shared" si="2"/>
        <v>5.0235820895522386E-2</v>
      </c>
      <c r="X24" s="43"/>
      <c r="Y24" s="44"/>
    </row>
    <row r="25" spans="2:25" ht="21" customHeight="1" x14ac:dyDescent="0.45">
      <c r="B25" s="147"/>
      <c r="C25" s="148"/>
      <c r="D25" s="140" t="s">
        <v>51</v>
      </c>
      <c r="E25" s="83"/>
      <c r="F25" s="83"/>
      <c r="G25" s="83"/>
      <c r="H25" s="83"/>
      <c r="I25" s="83"/>
      <c r="J25" s="83"/>
      <c r="K25" s="83"/>
      <c r="L25" s="141"/>
      <c r="M25" s="103" t="s">
        <v>52</v>
      </c>
      <c r="N25" s="86"/>
      <c r="O25" s="97">
        <f>O24*0.1</f>
        <v>67000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53</v>
      </c>
      <c r="N26" s="86"/>
      <c r="O26" s="97">
        <f>SUM(O24:P25)</f>
        <v>737000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54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55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56</v>
      </c>
      <c r="C33" s="89"/>
      <c r="D33" s="89"/>
      <c r="E33" s="86"/>
      <c r="F33" s="78"/>
      <c r="G33" s="79"/>
      <c r="H33" s="80"/>
      <c r="I33" s="126" t="s">
        <v>57</v>
      </c>
      <c r="J33" s="89"/>
      <c r="K33" s="78"/>
      <c r="L33" s="79"/>
      <c r="M33" s="80"/>
      <c r="N33" s="88" t="s">
        <v>58</v>
      </c>
      <c r="O33" s="86"/>
      <c r="P33" s="118"/>
      <c r="Q33" s="80"/>
      <c r="W33" s="52"/>
    </row>
    <row r="34" spans="1:23" s="51" customFormat="1" ht="25.5" customHeight="1" x14ac:dyDescent="0.45">
      <c r="B34" s="88" t="s">
        <v>59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60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61</v>
      </c>
      <c r="C36" s="89"/>
      <c r="D36" s="89"/>
      <c r="E36" s="86"/>
      <c r="F36" s="78"/>
      <c r="G36" s="79"/>
      <c r="H36" s="79"/>
      <c r="I36" s="79"/>
      <c r="J36" s="80"/>
      <c r="K36" s="116" t="s">
        <v>62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63</v>
      </c>
      <c r="C37" s="111"/>
      <c r="D37" s="112"/>
      <c r="E37" s="151" t="s">
        <v>64</v>
      </c>
      <c r="F37" s="86"/>
      <c r="G37" s="125"/>
      <c r="H37" s="79"/>
      <c r="I37" s="79"/>
      <c r="J37" s="79"/>
      <c r="K37" s="80"/>
      <c r="L37" s="88" t="s">
        <v>65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66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67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68</v>
      </c>
      <c r="I42" s="83"/>
      <c r="J42" s="83"/>
      <c r="K42" s="83"/>
      <c r="L42" s="83"/>
      <c r="M42" s="83"/>
      <c r="N42" s="127" t="s">
        <v>69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70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71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96F4F7-0E35-4E21-97A0-2280BA53106D}"/>
</file>

<file path=customXml/itemProps2.xml><?xml version="1.0" encoding="utf-8"?>
<ds:datastoreItem xmlns:ds="http://schemas.openxmlformats.org/officeDocument/2006/customXml" ds:itemID="{3023F1AE-6140-4BB9-86B9-C1F5253797DD}"/>
</file>

<file path=customXml/itemProps3.xml><?xml version="1.0" encoding="utf-8"?>
<ds:datastoreItem xmlns:ds="http://schemas.openxmlformats.org/officeDocument/2006/customXml" ds:itemID="{8B94387C-37B3-4574-99AC-D1D4BE8E16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2025-08-18T07:03:12Z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