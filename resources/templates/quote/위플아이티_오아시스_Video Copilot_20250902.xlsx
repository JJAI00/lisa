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532501F1-9D10-442E-B321-36FBEB4F9FE5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V14" i="1"/>
  <c r="W14" i="1" s="1"/>
  <c r="U14" i="1"/>
  <c r="O14" i="1"/>
  <c r="O25" i="1" l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<sst xmlns="http://schemas.openxmlformats.org/spreadsheetml/2006/main" count="71" uniqueCount="71">
  <si>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</si>
  <si>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</si>
  <si>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</si>
  <si>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</si>
  <si>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</si>
  <si>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</si>
  <si>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</si>
  <si>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</si>
  <si>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</si>
  <si>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</si>
  <si>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</si>
  <si>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</si>
  <si>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</si>
  <si>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</si>
  <si>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</si>
  <si>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</si>
  <si>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</si>
  <si>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</si>
  <si>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</si>
  <si>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</si>
  <si>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</si>
  <si>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</si>
  <si>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</si>
  <si>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</si>
  <si>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</si>
  <si>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</si>
  <si>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</si>
  <si>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</si>
  <si>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</si>
  <si>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</si>
  <si>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</si>
  <si>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</si>
  <si>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</si>
  <si>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</si>
  <si>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</si>
  <si>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</si>
  <si>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</si>
  <si>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</si>
  <si>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</si>
  <si>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</si>
  <si>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</si>
  <si>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</si>
  <si>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</si>
  <si>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</si>
  <si>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Optical Flares Plug-in for Nuke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</si>
  <si>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</si>
  <si>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</si>
  <si>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</si>
  <si>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</si>
  <si>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</si>
  <si>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</si>
  <si>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</si>
  <si>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</si>
  <si>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</si>
  <si>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</si>
  <si>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</si>
  <si>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</si>
  <si>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</si>
  <si>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</si>
  <si>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</si>
  <si>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</si>
  <si>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</si>
  <si>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</si>
  <si>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</si>
  <si>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</si>
  <si>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</si>
  <si>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</si>
  <si>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</si>
  <si>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</si>
  <si>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</si>
  <si>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위플아이티 - 오아시스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</si>
</sst>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45902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70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5</v>
      </c>
      <c r="H5" s="10"/>
      <c r="I5" s="10"/>
      <c r="J5" s="10"/>
      <c r="L5" s="95"/>
      <c r="M5" s="59" t="s">
        <v>6</v>
      </c>
      <c r="N5" s="98" t="s">
        <v>7</v>
      </c>
      <c r="O5" s="86"/>
      <c r="P5" s="11" t="s">
        <v>8</v>
      </c>
      <c r="Q5" s="12" t="s">
        <v>9</v>
      </c>
      <c r="U5" s="45"/>
    </row>
    <row r="6" spans="2:27" ht="31.5" customHeight="1" x14ac:dyDescent="0.6">
      <c r="B6" s="13"/>
      <c r="C6" s="77" t="s">
        <v>10</v>
      </c>
      <c r="D6" s="76"/>
      <c r="E6" s="99"/>
      <c r="F6" s="83"/>
      <c r="G6" s="83"/>
      <c r="H6" s="14"/>
      <c r="I6" s="9"/>
      <c r="J6" s="15"/>
      <c r="L6" s="95"/>
      <c r="M6" s="59" t="s">
        <v>11</v>
      </c>
      <c r="N6" s="134" t="s">
        <v>12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13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14</v>
      </c>
      <c r="N7" s="98" t="s">
        <v>15</v>
      </c>
      <c r="O7" s="86"/>
      <c r="P7" s="20" t="s">
        <v>16</v>
      </c>
      <c r="Q7" s="21" t="s">
        <v>17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18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19</v>
      </c>
      <c r="N8" s="139" t="s">
        <v>20</v>
      </c>
      <c r="O8" s="89"/>
      <c r="P8" s="23" t="s">
        <v>21</v>
      </c>
      <c r="Q8" s="24" t="s">
        <v>22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23</v>
      </c>
      <c r="D10" s="76"/>
      <c r="E10" s="107">
        <f>O26</f>
        <v>506000</v>
      </c>
      <c r="F10" s="76"/>
      <c r="G10" s="76"/>
      <c r="H10" s="76"/>
      <c r="I10" s="104" t="s">
        <v>24</v>
      </c>
      <c r="J10" s="76"/>
      <c r="K10" s="76"/>
      <c r="L10" s="73" t="s">
        <v>25</v>
      </c>
      <c r="M10" s="92" t="s">
        <v>26</v>
      </c>
      <c r="N10" s="93"/>
      <c r="O10" s="143" t="s">
        <v>27</v>
      </c>
      <c r="P10" s="93"/>
      <c r="Q10" s="74" t="s">
        <v>28</v>
      </c>
      <c r="R10" s="19"/>
      <c r="S10" s="16"/>
      <c r="U10" s="68"/>
    </row>
    <row r="11" spans="2:27" ht="20.25" customHeight="1" x14ac:dyDescent="0.45">
      <c r="C11" s="32" t="s">
        <v>29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30</v>
      </c>
    </row>
    <row r="12" spans="2:27" ht="22.5" customHeight="1" x14ac:dyDescent="0.45">
      <c r="B12" s="91" t="s">
        <v>31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32</v>
      </c>
    </row>
    <row r="13" spans="2:27" ht="22.5" customHeight="1" x14ac:dyDescent="0.45">
      <c r="B13" s="101" t="s">
        <v>33</v>
      </c>
      <c r="C13" s="86"/>
      <c r="D13" s="101" t="s">
        <v>34</v>
      </c>
      <c r="E13" s="89"/>
      <c r="F13" s="89"/>
      <c r="G13" s="89"/>
      <c r="H13" s="89"/>
      <c r="I13" s="89"/>
      <c r="J13" s="89"/>
      <c r="K13" s="86"/>
      <c r="L13" s="36" t="s">
        <v>35</v>
      </c>
      <c r="M13" s="101" t="s">
        <v>36</v>
      </c>
      <c r="N13" s="86"/>
      <c r="O13" s="101" t="s">
        <v>37</v>
      </c>
      <c r="P13" s="86"/>
      <c r="Q13" s="36" t="s">
        <v>38</v>
      </c>
      <c r="T13" s="36" t="s">
        <v>39</v>
      </c>
      <c r="U13" s="61" t="s">
        <v>40</v>
      </c>
      <c r="V13" s="62" t="s">
        <v>41</v>
      </c>
      <c r="W13" s="37" t="s">
        <v>42</v>
      </c>
      <c r="X13" s="61" t="s">
        <v>43</v>
      </c>
    </row>
    <row r="14" spans="2:27" ht="33" customHeight="1" x14ac:dyDescent="0.45">
      <c r="B14" s="85">
        <v>1</v>
      </c>
      <c r="C14" s="86"/>
      <c r="D14" s="124" t="s">
        <v>44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230000</v>
      </c>
      <c r="N14" s="80"/>
      <c r="O14" s="87">
        <f t="shared" ref="O14:O23" si="0">M14*L14</f>
        <v>460000</v>
      </c>
      <c r="P14" s="86"/>
      <c r="Q14" s="64"/>
      <c r="T14" s="39">
        <v>208448</v>
      </c>
      <c r="U14" s="39">
        <f>T14*L14</f>
        <v>416896</v>
      </c>
      <c r="V14" s="41">
        <f t="shared" ref="V14:V23" si="1">O14-U14</f>
        <v>43104</v>
      </c>
      <c r="W14" s="42">
        <f t="shared" ref="W14:W24" si="2">V14/O14</f>
        <v>9.3704347826086956E-2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45</v>
      </c>
      <c r="C24" s="112"/>
      <c r="D24" s="149" t="s">
        <v>46</v>
      </c>
      <c r="E24" s="130"/>
      <c r="F24" s="130"/>
      <c r="G24" s="130"/>
      <c r="H24" s="130"/>
      <c r="I24" s="129" t="s">
        <v>47</v>
      </c>
      <c r="J24" s="130"/>
      <c r="K24" s="130"/>
      <c r="L24" s="131"/>
      <c r="M24" s="103" t="s">
        <v>48</v>
      </c>
      <c r="N24" s="86"/>
      <c r="O24" s="144">
        <f>SUM(O14:P23)</f>
        <v>460000</v>
      </c>
      <c r="P24" s="86"/>
      <c r="Q24" s="48"/>
      <c r="T24" s="39">
        <f>SUM(T14:T23)</f>
        <v>208448</v>
      </c>
      <c r="U24" s="39">
        <f>SUM(U14:U23)</f>
        <v>416896</v>
      </c>
      <c r="V24" s="39">
        <f>SUM(V14:V23)</f>
        <v>43104</v>
      </c>
      <c r="W24" s="42">
        <f t="shared" si="2"/>
        <v>9.3704347826086956E-2</v>
      </c>
      <c r="X24" s="43"/>
      <c r="Y24" s="44"/>
    </row>
    <row r="25" spans="2:25" ht="21" customHeight="1" x14ac:dyDescent="0.45">
      <c r="B25" s="147"/>
      <c r="C25" s="148"/>
      <c r="D25" s="140" t="s">
        <v>49</v>
      </c>
      <c r="E25" s="83"/>
      <c r="F25" s="83"/>
      <c r="G25" s="83"/>
      <c r="H25" s="83"/>
      <c r="I25" s="83"/>
      <c r="J25" s="83"/>
      <c r="K25" s="83"/>
      <c r="L25" s="141"/>
      <c r="M25" s="103" t="s">
        <v>50</v>
      </c>
      <c r="N25" s="86"/>
      <c r="O25" s="97">
        <f>O24*0.1</f>
        <v>46000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51</v>
      </c>
      <c r="N26" s="86"/>
      <c r="O26" s="97">
        <f>SUM(O24:P25)</f>
        <v>506000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52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53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54</v>
      </c>
      <c r="C33" s="89"/>
      <c r="D33" s="89"/>
      <c r="E33" s="86"/>
      <c r="F33" s="78"/>
      <c r="G33" s="79"/>
      <c r="H33" s="80"/>
      <c r="I33" s="126" t="s">
        <v>55</v>
      </c>
      <c r="J33" s="89"/>
      <c r="K33" s="78"/>
      <c r="L33" s="79"/>
      <c r="M33" s="80"/>
      <c r="N33" s="88" t="s">
        <v>56</v>
      </c>
      <c r="O33" s="86"/>
      <c r="P33" s="118"/>
      <c r="Q33" s="80"/>
      <c r="W33" s="52"/>
    </row>
    <row r="34" spans="1:23" s="51" customFormat="1" ht="25.5" customHeight="1" x14ac:dyDescent="0.45">
      <c r="B34" s="88" t="s">
        <v>57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58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59</v>
      </c>
      <c r="C36" s="89"/>
      <c r="D36" s="89"/>
      <c r="E36" s="86"/>
      <c r="F36" s="78"/>
      <c r="G36" s="79"/>
      <c r="H36" s="79"/>
      <c r="I36" s="79"/>
      <c r="J36" s="80"/>
      <c r="K36" s="116" t="s">
        <v>60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61</v>
      </c>
      <c r="C37" s="111"/>
      <c r="D37" s="112"/>
      <c r="E37" s="151" t="s">
        <v>62</v>
      </c>
      <c r="F37" s="86"/>
      <c r="G37" s="125"/>
      <c r="H37" s="79"/>
      <c r="I37" s="79"/>
      <c r="J37" s="79"/>
      <c r="K37" s="80"/>
      <c r="L37" s="88" t="s">
        <v>63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64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65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66</v>
      </c>
      <c r="I42" s="83"/>
      <c r="J42" s="83"/>
      <c r="K42" s="83"/>
      <c r="L42" s="83"/>
      <c r="M42" s="83"/>
      <c r="N42" s="127" t="s">
        <v>67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F597D9-CC29-41A0-8769-42DD72F448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40B165-F7D1-47EA-8605-4495F91DB769}"/>
</file>

<file path=customXml/itemProps3.xml><?xml version="1.0" encoding="utf-8"?>
<ds:datastoreItem xmlns:ds="http://schemas.openxmlformats.org/officeDocument/2006/customXml" ds:itemID="{1A14FDA0-F4C2-4B28-83D0-8CCEE1437CC3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2025-09-02T06:47:15Z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