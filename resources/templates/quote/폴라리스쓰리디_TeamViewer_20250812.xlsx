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36" documentId="11_7633155B8BCAD8DCA3CBDBD6854322AF0EDBA10A" xr6:coauthVersionLast="47" xr6:coauthVersionMax="47" xr10:uidLastSave="{C550D14B-AF90-4487-96E3-D8352CC47E36}"/>
  <bookViews>
    <workbookView xWindow="34404" yWindow="-156" windowWidth="31032" windowHeight="16872" activeTab="2" xr2:uid="{00000000-000D-0000-FFFF-FFFF00000000}"/>
  </bookViews>
  <sheets>
    <sheet name="1" sheetId="1" r:id="rId1"/>
    <sheet name="1 (2)" sheetId="2" r:id="rId2"/>
    <sheet name="1 (3)" sheetId="3" r:id="rId3"/>
    <sheet name="1 (4)" sheetId="4" r:id="rId4"/>
  </sheets>
  <definedNames>
    <definedName name="_xlnm.Print_Area" localSheetId="0">'1'!$A$1:$R$49</definedName>
    <definedName name="_xlnm.Print_Area" localSheetId="1">'1 (2)'!$A$1:$R$49</definedName>
    <definedName name="_xlnm.Print_Area" localSheetId="2">'1 (3)'!$A$1:$R$49</definedName>
    <definedName name="_xlnm.Print_Area" localSheetId="3">'1 (4)'!$A$1:$R$49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4" l="1"/>
  <c r="U23" i="4"/>
  <c r="O23" i="4"/>
  <c r="V23" i="4" s="1"/>
  <c r="W23" i="4" s="1"/>
  <c r="U22" i="4"/>
  <c r="O22" i="4"/>
  <c r="V22" i="4" s="1"/>
  <c r="W22" i="4" s="1"/>
  <c r="U21" i="4"/>
  <c r="O21" i="4"/>
  <c r="V21" i="4" s="1"/>
  <c r="W21" i="4" s="1"/>
  <c r="U20" i="4"/>
  <c r="V20" i="4" s="1"/>
  <c r="W20" i="4" s="1"/>
  <c r="O20" i="4"/>
  <c r="U19" i="4"/>
  <c r="O19" i="4"/>
  <c r="V19" i="4" s="1"/>
  <c r="W19" i="4" s="1"/>
  <c r="U18" i="4"/>
  <c r="O18" i="4"/>
  <c r="V18" i="4" s="1"/>
  <c r="W18" i="4" s="1"/>
  <c r="U17" i="4"/>
  <c r="O17" i="4"/>
  <c r="V17" i="4" s="1"/>
  <c r="W17" i="4" s="1"/>
  <c r="U16" i="4"/>
  <c r="O16" i="4"/>
  <c r="V16" i="4" s="1"/>
  <c r="W16" i="4" s="1"/>
  <c r="U15" i="4"/>
  <c r="O15" i="4"/>
  <c r="U14" i="4"/>
  <c r="U24" i="4" s="1"/>
  <c r="O14" i="4"/>
  <c r="V14" i="4" s="1"/>
  <c r="W6" i="4"/>
  <c r="M14" i="3"/>
  <c r="O14" i="3" s="1"/>
  <c r="T14" i="3"/>
  <c r="T24" i="3" s="1"/>
  <c r="U23" i="3"/>
  <c r="O23" i="3"/>
  <c r="V23" i="3" s="1"/>
  <c r="W23" i="3" s="1"/>
  <c r="U22" i="3"/>
  <c r="O22" i="3"/>
  <c r="V22" i="3" s="1"/>
  <c r="W22" i="3" s="1"/>
  <c r="U21" i="3"/>
  <c r="O21" i="3"/>
  <c r="V21" i="3" s="1"/>
  <c r="W21" i="3" s="1"/>
  <c r="U20" i="3"/>
  <c r="V20" i="3" s="1"/>
  <c r="W20" i="3" s="1"/>
  <c r="O20" i="3"/>
  <c r="U19" i="3"/>
  <c r="O19" i="3"/>
  <c r="V19" i="3" s="1"/>
  <c r="W19" i="3" s="1"/>
  <c r="U18" i="3"/>
  <c r="O18" i="3"/>
  <c r="V18" i="3" s="1"/>
  <c r="W18" i="3" s="1"/>
  <c r="U17" i="3"/>
  <c r="O17" i="3"/>
  <c r="V17" i="3" s="1"/>
  <c r="W17" i="3" s="1"/>
  <c r="U16" i="3"/>
  <c r="O16" i="3"/>
  <c r="V16" i="3" s="1"/>
  <c r="W16" i="3" s="1"/>
  <c r="U15" i="3"/>
  <c r="O15" i="3"/>
  <c r="V15" i="3" s="1"/>
  <c r="W15" i="3" s="1"/>
  <c r="U14" i="3"/>
  <c r="U24" i="3" s="1"/>
  <c r="W6" i="3"/>
  <c r="T14" i="1"/>
  <c r="M14" i="1"/>
  <c r="O14" i="1" s="1"/>
  <c r="T24" i="2"/>
  <c r="U23" i="2"/>
  <c r="O23" i="2"/>
  <c r="V23" i="2" s="1"/>
  <c r="W23" i="2" s="1"/>
  <c r="U22" i="2"/>
  <c r="O22" i="2"/>
  <c r="V22" i="2" s="1"/>
  <c r="W22" i="2" s="1"/>
  <c r="U21" i="2"/>
  <c r="O21" i="2"/>
  <c r="V21" i="2" s="1"/>
  <c r="W21" i="2" s="1"/>
  <c r="U20" i="2"/>
  <c r="V20" i="2" s="1"/>
  <c r="W20" i="2" s="1"/>
  <c r="O20" i="2"/>
  <c r="U19" i="2"/>
  <c r="O19" i="2"/>
  <c r="V19" i="2" s="1"/>
  <c r="W19" i="2" s="1"/>
  <c r="U18" i="2"/>
  <c r="O18" i="2"/>
  <c r="V18" i="2" s="1"/>
  <c r="W18" i="2" s="1"/>
  <c r="U17" i="2"/>
  <c r="O17" i="2"/>
  <c r="V17" i="2" s="1"/>
  <c r="W17" i="2" s="1"/>
  <c r="U16" i="2"/>
  <c r="O16" i="2"/>
  <c r="V16" i="2" s="1"/>
  <c r="W16" i="2" s="1"/>
  <c r="U15" i="2"/>
  <c r="O15" i="2"/>
  <c r="U14" i="2"/>
  <c r="O14" i="2"/>
  <c r="W6" i="2"/>
  <c r="W6" i="1"/>
  <c r="T24" i="1"/>
  <c r="U23" i="1"/>
  <c r="O23" i="1"/>
  <c r="V23" i="1" s="1"/>
  <c r="W23" i="1" s="1"/>
  <c r="U22" i="1"/>
  <c r="O22" i="1"/>
  <c r="V22" i="1" s="1"/>
  <c r="W22" i="1" s="1"/>
  <c r="V21" i="1"/>
  <c r="W21" i="1" s="1"/>
  <c r="U21" i="1"/>
  <c r="O21" i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U14" i="1"/>
  <c r="U24" i="1" s="1"/>
  <c r="V15" i="4" l="1"/>
  <c r="W15" i="4" s="1"/>
  <c r="V24" i="4"/>
  <c r="W14" i="4"/>
  <c r="O24" i="4"/>
  <c r="V14" i="3"/>
  <c r="O24" i="3"/>
  <c r="V14" i="1"/>
  <c r="W14" i="1" s="1"/>
  <c r="O24" i="1"/>
  <c r="V14" i="2"/>
  <c r="U24" i="2"/>
  <c r="O24" i="2"/>
  <c r="O25" i="2" s="1"/>
  <c r="O26" i="2" s="1"/>
  <c r="E10" i="2" s="1"/>
  <c r="W14" i="2"/>
  <c r="V15" i="2"/>
  <c r="W15" i="2" s="1"/>
  <c r="O25" i="1"/>
  <c r="O26" i="1" s="1"/>
  <c r="E10" i="1" s="1"/>
  <c r="V15" i="1"/>
  <c r="O25" i="4" l="1"/>
  <c r="O26" i="4" s="1"/>
  <c r="E10" i="4" s="1"/>
  <c r="W24" i="4"/>
  <c r="O25" i="3"/>
  <c r="O26" i="3" s="1"/>
  <c r="E10" i="3" s="1"/>
  <c r="W14" i="3"/>
  <c r="V24" i="3"/>
  <c r="W24" i="3" s="1"/>
  <c r="V24" i="2"/>
  <c r="W24" i="2" s="1"/>
  <c r="W15" i="1"/>
  <c r="V24" i="1"/>
  <c r="W24" i="1" s="1"/>
</calcChain>
</file>

<file path=xl/sharedStrings.xml><?xml version="1.0" encoding="utf-8"?>
<sst xmlns="http://schemas.openxmlformats.org/spreadsheetml/2006/main" count="302" uniqueCount="80">
  <si>
    <t xml:space="preserve"> *   견 적 서   *</t>
  </si>
  <si>
    <t>견적일자</t>
  </si>
  <si>
    <t>공
급
자</t>
  </si>
  <si>
    <t>상  호</t>
  </si>
  <si>
    <t>큐브렉스</t>
  </si>
  <si>
    <t>폴라리스쓰리디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</si>
  <si>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</si>
  <si>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</si>
  <si>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</si>
  <si>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</si>
  <si>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</si>
  <si>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</si>
  <si>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</si>
  <si>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</si>
  <si>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</si>
  <si>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</si>
  <si>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</si>
  <si>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</si>
  <si>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</si>
  <si>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</si>
  <si>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</si>
  <si>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</si>
  <si>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</si>
  <si>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</si>
  <si>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</si>
  <si>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</si>
  <si>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</si>
  <si>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</si>
  <si>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</si>
  <si>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</si>
  <si>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</si>
  <si>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</si>
  <si>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</si>
  <si>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</si>
  <si>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</si>
  <si>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</si>
  <si>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</si>
  <si>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</si>
  <si>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</si>
  <si>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</si>
  <si>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</si>
  <si>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</si>
  <si>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</si>
  <si>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</si>
  <si>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</si>
  <si>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</si>
  <si>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</si>
  <si>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</si>
  <si>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</si>
  <si>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</si>
  <si>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</si>
  <si>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</si>
  <si>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</si>
  <si>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</si>
  <si>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</si>
  <si>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</si>
  <si>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</si>
  <si>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</si>
  <si>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</si>
  <si>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</si>
  <si>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</si>
  <si>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</si>
  <si>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</si>
  <si>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</si>
  <si>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</si>
  <si>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</si>
  <si>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</si>
  <si>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</si>
  <si>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</si>
  <si>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</si>
  <si>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김문수 님 귀하</t>
    <phoneticPr fontId="2" type="noConversion"/>
  </si>
  <si>
    <t>010-2975-5119</t>
    <phoneticPr fontId="2" type="noConversion"/>
  </si>
  <si>
    <t>juppo123@polaris3D.co</t>
    <phoneticPr fontId="2" type="noConversion"/>
  </si>
  <si>
    <t>Add-On 500 Managed Devices - New</t>
    <phoneticPr fontId="2" type="noConversion"/>
  </si>
  <si>
    <t xml:space="preserve"> - 2025-08-12 ~ 2025-12-25 / 135일 추가</t>
    <phoneticPr fontId="2" type="noConversion"/>
  </si>
  <si>
    <t>TeamViewer Corporate Subscription - Renewal</t>
    <phoneticPr fontId="2" type="noConversion"/>
  </si>
  <si>
    <t>사용 기간 : 
2025-12-26 
~ 2026-12-25</t>
    <phoneticPr fontId="2" type="noConversion"/>
  </si>
  <si>
    <t>Add-On 100 Managed Devices - New</t>
    <phoneticPr fontId="2" type="noConversion"/>
  </si>
  <si>
    <t>Add-On 100 Managed Devices - Renewal</t>
    <phoneticPr fontId="2" type="noConversion"/>
  </si>
  <si>
    <t>Add-On 500 Managed Devices - Renewal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</si>
</sst>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6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6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Border="1" applyProtection="1">
      <alignment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12" xfId="1" applyFont="1" applyBorder="1" applyProtection="1">
      <alignment vertical="center"/>
      <protection locked="0"/>
    </xf>
    <xf numFmtId="10" fontId="13" fillId="0" borderId="10" xfId="2" applyNumberFormat="1" applyFont="1" applyBorder="1" applyAlignment="1" applyProtection="1">
      <alignment horizontal="center" vertical="center"/>
      <protection locked="0"/>
    </xf>
    <xf numFmtId="9" fontId="20" fillId="0" borderId="9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10" xfId="1" applyFont="1" applyBorder="1" applyAlignment="1" applyProtection="1">
      <alignment horizontal="center" vertical="center"/>
      <protection locked="0"/>
    </xf>
    <xf numFmtId="24" fontId="20" fillId="0" borderId="9" xfId="1" applyNumberFormat="1" applyFont="1" applyBorder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14" fontId="0" fillId="0" borderId="0" xfId="0" applyNumberFormat="1" applyAlignment="1"/>
    <xf numFmtId="14" fontId="0" fillId="0" borderId="0" xfId="1" applyNumberFormat="1" applyFont="1">
      <alignment vertical="center"/>
    </xf>
    <xf numFmtId="0" fontId="25" fillId="0" borderId="0" xfId="0" applyFont="1">
      <alignment vertical="center"/>
    </xf>
    <xf numFmtId="0" fontId="13" fillId="0" borderId="0" xfId="0" applyFont="1" applyAlignment="1">
      <alignment horizontal="distributed" vertical="center"/>
    </xf>
    <xf numFmtId="0" fontId="0" fillId="0" borderId="0" xfId="0" applyAlignment="1"/>
    <xf numFmtId="41" fontId="20" fillId="0" borderId="10" xfId="1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protection locked="0"/>
    </xf>
    <xf numFmtId="0" fontId="6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6" fillId="0" borderId="10" xfId="0" applyFont="1" applyBorder="1" applyAlignment="1" applyProtection="1">
      <alignment horizontal="left" vertical="center" indent="1"/>
      <protection locked="0"/>
    </xf>
    <xf numFmtId="0" fontId="0" fillId="0" borderId="12" xfId="0" applyBorder="1" applyAlignment="1" applyProtection="1">
      <protection locked="0"/>
    </xf>
    <xf numFmtId="0" fontId="12" fillId="3" borderId="10" xfId="0" applyFont="1" applyFill="1" applyBorder="1" applyAlignment="1">
      <alignment horizontal="center" vertical="center"/>
    </xf>
    <xf numFmtId="0" fontId="0" fillId="0" borderId="12" xfId="0" applyBorder="1" applyAlignment="1"/>
    <xf numFmtId="0" fontId="21" fillId="0" borderId="10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18" xfId="0" applyBorder="1" applyAlignment="1"/>
    <xf numFmtId="0" fontId="0" fillId="0" borderId="14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15" xfId="0" applyBorder="1" applyProtection="1">
      <alignment vertical="center"/>
      <protection locked="0"/>
    </xf>
    <xf numFmtId="0" fontId="0" fillId="0" borderId="16" xfId="0" applyBorder="1" applyAlignment="1" applyProtection="1">
      <protection locked="0"/>
    </xf>
    <xf numFmtId="0" fontId="3" fillId="2" borderId="0" xfId="0" applyFont="1" applyFill="1" applyAlignment="1">
      <alignment horizontal="center" vertical="center"/>
    </xf>
    <xf numFmtId="41" fontId="20" fillId="0" borderId="10" xfId="1" applyFont="1" applyBorder="1" applyAlignment="1">
      <alignment horizontal="center" vertical="center"/>
    </xf>
    <xf numFmtId="0" fontId="19" fillId="4" borderId="10" xfId="0" applyFont="1" applyFill="1" applyBorder="1" applyAlignment="1">
      <alignment horizontal="left" vertical="center" shrinkToFit="1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19" fillId="4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0" fillId="0" borderId="1" xfId="0" applyBorder="1" applyAlignment="1" applyProtection="1">
      <protection locked="0"/>
    </xf>
    <xf numFmtId="0" fontId="9" fillId="0" borderId="10" xfId="0" applyFont="1" applyBorder="1" applyAlignment="1">
      <alignment horizontal="center" vertical="center"/>
    </xf>
    <xf numFmtId="0" fontId="0" fillId="0" borderId="6" xfId="0" applyBorder="1" applyAlignment="1"/>
    <xf numFmtId="0" fontId="19" fillId="4" borderId="10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 indent="1"/>
    </xf>
    <xf numFmtId="0" fontId="19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21" fillId="0" borderId="6" xfId="0" applyFont="1" applyBorder="1" applyAlignment="1" applyProtection="1">
      <alignment vertical="center" wrapText="1"/>
      <protection locked="0"/>
    </xf>
    <xf numFmtId="0" fontId="0" fillId="0" borderId="14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21" fillId="0" borderId="0" xfId="0" applyFont="1">
      <alignment vertical="center"/>
    </xf>
    <xf numFmtId="0" fontId="9" fillId="0" borderId="9" xfId="0" applyFont="1" applyBorder="1" applyAlignment="1">
      <alignment horizontal="left" vertical="center"/>
    </xf>
    <xf numFmtId="41" fontId="20" fillId="0" borderId="6" xfId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9" fillId="0" borderId="10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14" fontId="6" fillId="0" borderId="10" xfId="0" applyNumberFormat="1" applyFont="1" applyBorder="1" applyAlignment="1" applyProtection="1">
      <alignment horizontal="left" vertical="center" wrapText="1" indent="1"/>
      <protection locked="0"/>
    </xf>
    <xf numFmtId="0" fontId="19" fillId="4" borderId="8" xfId="0" applyFont="1" applyFill="1" applyBorder="1" applyAlignment="1">
      <alignment horizontal="left" vertical="center"/>
    </xf>
    <xf numFmtId="0" fontId="19" fillId="0" borderId="10" xfId="0" applyFont="1" applyBorder="1" applyProtection="1">
      <alignment vertical="center"/>
      <protection locked="0"/>
    </xf>
    <xf numFmtId="0" fontId="5" fillId="0" borderId="0" xfId="3" applyAlignment="1" applyProtection="1">
      <alignment horizontal="left" indent="2"/>
      <protection locked="0"/>
    </xf>
    <xf numFmtId="41" fontId="19" fillId="0" borderId="10" xfId="1" applyFont="1" applyBorder="1" applyAlignment="1">
      <alignment horizontal="right" vertical="center"/>
    </xf>
    <xf numFmtId="0" fontId="21" fillId="0" borderId="0" xfId="0" applyFont="1" applyAlignment="1" applyProtection="1">
      <alignment horizontal="center" vertical="center"/>
      <protection locked="0"/>
    </xf>
    <xf numFmtId="41" fontId="20" fillId="0" borderId="0" xfId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10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" xfId="0" applyBorder="1" applyAlignment="1"/>
    <xf numFmtId="0" fontId="19" fillId="4" borderId="10" xfId="0" applyFont="1" applyFill="1" applyBorder="1">
      <alignment vertical="center"/>
    </xf>
    <xf numFmtId="0" fontId="19" fillId="0" borderId="10" xfId="0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7" xfId="0" applyBorder="1" applyAlignment="1" applyProtection="1">
      <protection locked="0"/>
    </xf>
    <xf numFmtId="0" fontId="0" fillId="0" borderId="0" xfId="0">
      <alignment vertical="center"/>
    </xf>
    <xf numFmtId="0" fontId="6" fillId="0" borderId="6" xfId="0" applyFont="1" applyBorder="1" applyAlignment="1" applyProtection="1">
      <alignment horizontal="left" vertical="center" wrapText="1" inden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0" fillId="0" borderId="19" xfId="0" applyBorder="1" applyAlignment="1" applyProtection="1">
      <protection locked="0"/>
    </xf>
    <xf numFmtId="41" fontId="19" fillId="0" borderId="10" xfId="1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8" fillId="0" borderId="10" xfId="0" applyFont="1" applyBorder="1" applyAlignment="1">
      <alignment horizontal="center" vertical="center" wrapText="1"/>
    </xf>
    <xf numFmtId="0" fontId="0" fillId="0" borderId="5" xfId="0" applyBorder="1" applyAlignment="1"/>
    <xf numFmtId="9" fontId="6" fillId="0" borderId="10" xfId="2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horizontal="left" vertical="center" shrinkToFit="1"/>
    </xf>
    <xf numFmtId="41" fontId="9" fillId="0" borderId="3" xfId="1" applyFont="1" applyBorder="1" applyAlignment="1" applyProtection="1">
      <alignment horizontal="center" vertical="center" wrapText="1"/>
      <protection locked="0"/>
    </xf>
    <xf numFmtId="41" fontId="9" fillId="0" borderId="6" xfId="1" applyFont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A3E54CE-CEBC-4A9A-9DC9-5330ECAFF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2611100"/>
          <a:ext cx="176784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E09B63C1-9620-4D84-8854-7F6A8178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2611100"/>
          <a:ext cx="1920240" cy="5791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4" name="그림 3">
          <a:extLst>
            <a:ext uri="{FF2B5EF4-FFF2-40B4-BE49-F238E27FC236}">
              <a16:creationId xmlns:a16="http://schemas.microsoft.com/office/drawing/2014/main" id="{E0F2E4C3-3F0D-4F54-AD3F-8455663C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96167" y="97742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5" name="그림 4">
          <a:extLst>
            <a:ext uri="{FF2B5EF4-FFF2-40B4-BE49-F238E27FC236}">
              <a16:creationId xmlns:a16="http://schemas.microsoft.com/office/drawing/2014/main" id="{6B5B58E6-FD0F-4D52-90D7-C1B344C22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8756913" y="112776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590FD1D-9BD8-41CC-9479-2702BCD8D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2611100"/>
          <a:ext cx="176784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FE5200DD-3E82-4020-B5E1-564D1FCD2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2611100"/>
          <a:ext cx="1920240" cy="5791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4" name="그림 3">
          <a:extLst>
            <a:ext uri="{FF2B5EF4-FFF2-40B4-BE49-F238E27FC236}">
              <a16:creationId xmlns:a16="http://schemas.microsoft.com/office/drawing/2014/main" id="{55DD5324-566F-4865-A0E0-613493FD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96167" y="97742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5" name="그림 4">
          <a:extLst>
            <a:ext uri="{FF2B5EF4-FFF2-40B4-BE49-F238E27FC236}">
              <a16:creationId xmlns:a16="http://schemas.microsoft.com/office/drawing/2014/main" id="{24E3B9D3-4EFA-4A5F-A7DF-F251A5DD8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8756913" y="112776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F5E253C-A930-4F14-B705-D7E65D02A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2611100"/>
          <a:ext cx="176784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8127A449-1DC8-4678-8EC1-FC62C5E2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2611100"/>
          <a:ext cx="1920240" cy="5791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4" name="그림 3">
          <a:extLst>
            <a:ext uri="{FF2B5EF4-FFF2-40B4-BE49-F238E27FC236}">
              <a16:creationId xmlns:a16="http://schemas.microsoft.com/office/drawing/2014/main" id="{8BD3BA1F-4A2C-40FB-B35B-28688A00E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96167" y="97742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5" name="그림 4">
          <a:extLst>
            <a:ext uri="{FF2B5EF4-FFF2-40B4-BE49-F238E27FC236}">
              <a16:creationId xmlns:a16="http://schemas.microsoft.com/office/drawing/2014/main" id="{944D7365-FAC9-47CE-98CB-E40CBCF69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8756913" y="112776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ppo123@polaris3D.c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uppo123@polaris3D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uppo123@polaris3D.c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uppo123@polaris3D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view="pageBreakPreview" topLeftCell="A2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609400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73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f>ROUNDDOWN(1500000/365*135, -3)</f>
        <v>554000</v>
      </c>
      <c r="N14" s="81"/>
      <c r="O14" s="97">
        <f t="shared" ref="O14:O23" si="0">M14*L14</f>
        <v>554000</v>
      </c>
      <c r="P14" s="83"/>
      <c r="Q14" s="64"/>
      <c r="T14" s="39">
        <f>1407600/365*135</f>
        <v>520619.17808219179</v>
      </c>
      <c r="U14" s="39">
        <f>T14*L14</f>
        <v>520619.17808219179</v>
      </c>
      <c r="V14" s="41">
        <f t="shared" ref="V14:V23" si="1">O14-U14</f>
        <v>33380.821917808207</v>
      </c>
      <c r="W14" s="42">
        <f t="shared" ref="W14:W24" si="2">V14/O14</f>
        <v>6.0254191187379437E-2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74</v>
      </c>
      <c r="E15" s="85"/>
      <c r="F15" s="85"/>
      <c r="G15" s="85"/>
      <c r="H15" s="85"/>
      <c r="I15" s="85"/>
      <c r="J15" s="85"/>
      <c r="K15" s="81"/>
      <c r="L15" s="38"/>
      <c r="M15" s="80"/>
      <c r="N15" s="81"/>
      <c r="O15" s="97">
        <f t="shared" si="0"/>
        <v>0</v>
      </c>
      <c r="P15" s="83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554000</v>
      </c>
      <c r="P24" s="83"/>
      <c r="Q24" s="48"/>
      <c r="T24" s="39">
        <f>SUM(T14:T23)</f>
        <v>520619.17808219179</v>
      </c>
      <c r="U24" s="39">
        <f>SUM(U14:U23)</f>
        <v>520619.17808219179</v>
      </c>
      <c r="V24" s="39">
        <f>SUM(V14:V23)</f>
        <v>33380.821917808207</v>
      </c>
      <c r="W24" s="42">
        <f t="shared" si="2"/>
        <v>6.0254191187379437E-2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55400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609400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1"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C6:D6"/>
    <mergeCell ref="F33:H33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C3:D3"/>
    <mergeCell ref="E3:F3"/>
    <mergeCell ref="D20:K20"/>
    <mergeCell ref="B16:C16"/>
    <mergeCell ref="N7:O7"/>
    <mergeCell ref="B33:E33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8" r:id="rId1" xr:uid="{48621AA0-3F4F-4B00-A830-B2DD9B29DA09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11A0-73EC-4AF5-89BE-FC7E058476AC}">
  <sheetPr>
    <pageSetUpPr fitToPage="1"/>
  </sheetPr>
  <dimension ref="A1:AA47"/>
  <sheetViews>
    <sheetView showGridLines="0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3850000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75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v>2000000</v>
      </c>
      <c r="N14" s="81"/>
      <c r="O14" s="97">
        <f t="shared" ref="O14:O23" si="0">M14*L14</f>
        <v>2000000</v>
      </c>
      <c r="P14" s="83"/>
      <c r="Q14" s="156" t="s">
        <v>76</v>
      </c>
      <c r="T14" s="39">
        <v>1834980</v>
      </c>
      <c r="U14" s="39">
        <f>T14*L14</f>
        <v>1834980</v>
      </c>
      <c r="V14" s="41">
        <f t="shared" ref="V14:V23" si="1">O14-U14</f>
        <v>165020</v>
      </c>
      <c r="W14" s="42">
        <f t="shared" ref="W14:W24" si="2">V14/O14</f>
        <v>8.251E-2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79</v>
      </c>
      <c r="E15" s="85"/>
      <c r="F15" s="85"/>
      <c r="G15" s="85"/>
      <c r="H15" s="85"/>
      <c r="I15" s="85"/>
      <c r="J15" s="85"/>
      <c r="K15" s="81"/>
      <c r="L15" s="38">
        <v>1</v>
      </c>
      <c r="M15" s="80">
        <v>1500000</v>
      </c>
      <c r="N15" s="81"/>
      <c r="O15" s="97">
        <f t="shared" si="0"/>
        <v>1500000</v>
      </c>
      <c r="P15" s="83"/>
      <c r="Q15" s="157"/>
      <c r="T15" s="39">
        <v>1407600</v>
      </c>
      <c r="U15" s="40">
        <f t="shared" ref="U15:U23" si="3">L15*T15</f>
        <v>1407600</v>
      </c>
      <c r="V15" s="41">
        <f t="shared" si="1"/>
        <v>92400</v>
      </c>
      <c r="W15" s="42">
        <f t="shared" si="2"/>
        <v>6.1600000000000002E-2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3500000</v>
      </c>
      <c r="P24" s="83"/>
      <c r="Q24" s="48"/>
      <c r="T24" s="39">
        <f>SUM(T14:T23)</f>
        <v>3242580</v>
      </c>
      <c r="U24" s="39">
        <f>SUM(U14:U23)</f>
        <v>3242580</v>
      </c>
      <c r="V24" s="39">
        <f>SUM(V14:V23)</f>
        <v>257420</v>
      </c>
      <c r="W24" s="42">
        <f t="shared" si="2"/>
        <v>7.3548571428571435E-2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350000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3850000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2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C10:D10"/>
    <mergeCell ref="E10:H10"/>
    <mergeCell ref="I10:K10"/>
    <mergeCell ref="M10:N10"/>
    <mergeCell ref="O10:P10"/>
    <mergeCell ref="M11:N11"/>
    <mergeCell ref="O11:P11"/>
    <mergeCell ref="N6:Q6"/>
    <mergeCell ref="C7:D7"/>
    <mergeCell ref="E7:G7"/>
    <mergeCell ref="N7:O7"/>
    <mergeCell ref="C8:D8"/>
    <mergeCell ref="E8:G8"/>
    <mergeCell ref="N8:O8"/>
    <mergeCell ref="B12:Q12"/>
    <mergeCell ref="B13:C13"/>
    <mergeCell ref="D13:K13"/>
    <mergeCell ref="M13:N13"/>
    <mergeCell ref="O13:P13"/>
    <mergeCell ref="B14:C14"/>
    <mergeCell ref="D14:K14"/>
    <mergeCell ref="M14:N14"/>
    <mergeCell ref="O14:P14"/>
    <mergeCell ref="Q14:Q15"/>
    <mergeCell ref="B17:C17"/>
    <mergeCell ref="D17:K17"/>
    <mergeCell ref="M17:N17"/>
    <mergeCell ref="O17:P17"/>
    <mergeCell ref="B18:C18"/>
    <mergeCell ref="D18:K18"/>
    <mergeCell ref="M18:N18"/>
    <mergeCell ref="O18:P18"/>
    <mergeCell ref="B15:C15"/>
    <mergeCell ref="D15:K15"/>
    <mergeCell ref="M15:N15"/>
    <mergeCell ref="O15:P15"/>
    <mergeCell ref="B16:C16"/>
    <mergeCell ref="D16:K16"/>
    <mergeCell ref="M16:N16"/>
    <mergeCell ref="O16:P16"/>
    <mergeCell ref="B21:C21"/>
    <mergeCell ref="D21:K21"/>
    <mergeCell ref="M21:N21"/>
    <mergeCell ref="O21:P21"/>
    <mergeCell ref="B22:C22"/>
    <mergeCell ref="D22:K22"/>
    <mergeCell ref="M22:N22"/>
    <mergeCell ref="O22:P22"/>
    <mergeCell ref="B19:C19"/>
    <mergeCell ref="D19:K19"/>
    <mergeCell ref="M19:N19"/>
    <mergeCell ref="O19:P19"/>
    <mergeCell ref="B20:C20"/>
    <mergeCell ref="D20:K20"/>
    <mergeCell ref="M20:N20"/>
    <mergeCell ref="O20:P20"/>
    <mergeCell ref="M25:N25"/>
    <mergeCell ref="O25:P25"/>
    <mergeCell ref="M26:N26"/>
    <mergeCell ref="O26:P26"/>
    <mergeCell ref="B28:Q28"/>
    <mergeCell ref="B30:Q30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B34:E34"/>
    <mergeCell ref="F34:Q34"/>
    <mergeCell ref="B35:E35"/>
    <mergeCell ref="F35:Q35"/>
    <mergeCell ref="B36:E36"/>
    <mergeCell ref="F36:J36"/>
    <mergeCell ref="K36:M36"/>
    <mergeCell ref="N36:Q36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14 B36" xr:uid="{689F5B18-A4EE-4918-B1BD-09D6FCD2B84D}">
      <formula1>1</formula1>
      <formula2>100</formula2>
    </dataValidation>
  </dataValidations>
  <hyperlinks>
    <hyperlink ref="E8" r:id="rId1" xr:uid="{801B240C-D297-4E5A-975A-EC626111002A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0944-AF0A-4F31-8725-662EB91A228D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O14" sqref="O14:P14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  <c r="X6" s="77"/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154000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77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f>ROUNDDOWN(380000/365*135, -3)</f>
        <v>140000</v>
      </c>
      <c r="N14" s="81"/>
      <c r="O14" s="97">
        <f t="shared" ref="O14:O23" si="0">M14*L14</f>
        <v>140000</v>
      </c>
      <c r="P14" s="83"/>
      <c r="Q14" s="64"/>
      <c r="T14" s="39">
        <f>351900/365*135</f>
        <v>130154.79452054795</v>
      </c>
      <c r="U14" s="39">
        <f>T14*L14</f>
        <v>130154.79452054795</v>
      </c>
      <c r="V14" s="41">
        <f t="shared" ref="V14:V23" si="1">O14-U14</f>
        <v>9845.2054794520518</v>
      </c>
      <c r="W14" s="42">
        <f t="shared" ref="W14:W24" si="2">V14/O14</f>
        <v>7.0322896281800371E-2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74</v>
      </c>
      <c r="E15" s="85"/>
      <c r="F15" s="85"/>
      <c r="G15" s="85"/>
      <c r="H15" s="85"/>
      <c r="I15" s="85"/>
      <c r="J15" s="85"/>
      <c r="K15" s="81"/>
      <c r="L15" s="38"/>
      <c r="M15" s="80"/>
      <c r="N15" s="81"/>
      <c r="O15" s="97">
        <f t="shared" si="0"/>
        <v>0</v>
      </c>
      <c r="P15" s="83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140000</v>
      </c>
      <c r="P24" s="83"/>
      <c r="Q24" s="48"/>
      <c r="T24" s="39">
        <f>SUM(T14:T23)</f>
        <v>130154.79452054795</v>
      </c>
      <c r="U24" s="39">
        <f>SUM(U14:U23)</f>
        <v>130154.79452054795</v>
      </c>
      <c r="V24" s="39">
        <f>SUM(V14:V23)</f>
        <v>9845.2054794520518</v>
      </c>
      <c r="W24" s="42">
        <f t="shared" si="2"/>
        <v>7.0322896281800371E-2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14000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154000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C10:D10"/>
    <mergeCell ref="E10:H10"/>
    <mergeCell ref="I10:K10"/>
    <mergeCell ref="M10:N10"/>
    <mergeCell ref="O10:P10"/>
    <mergeCell ref="M11:N11"/>
    <mergeCell ref="O11:P11"/>
    <mergeCell ref="N6:Q6"/>
    <mergeCell ref="C7:D7"/>
    <mergeCell ref="E7:G7"/>
    <mergeCell ref="N7:O7"/>
    <mergeCell ref="C8:D8"/>
    <mergeCell ref="E8:G8"/>
    <mergeCell ref="N8:O8"/>
    <mergeCell ref="B12:Q12"/>
    <mergeCell ref="B13:C13"/>
    <mergeCell ref="D13:K13"/>
    <mergeCell ref="M13:N13"/>
    <mergeCell ref="O13:P13"/>
    <mergeCell ref="B14:C14"/>
    <mergeCell ref="D14:K14"/>
    <mergeCell ref="M14:N14"/>
    <mergeCell ref="O14:P14"/>
    <mergeCell ref="B17:C17"/>
    <mergeCell ref="D17:K17"/>
    <mergeCell ref="M17:N17"/>
    <mergeCell ref="O17:P17"/>
    <mergeCell ref="B18:C18"/>
    <mergeCell ref="D18:K18"/>
    <mergeCell ref="M18:N18"/>
    <mergeCell ref="O18:P18"/>
    <mergeCell ref="B15:C15"/>
    <mergeCell ref="D15:K15"/>
    <mergeCell ref="M15:N15"/>
    <mergeCell ref="O15:P15"/>
    <mergeCell ref="B16:C16"/>
    <mergeCell ref="D16:K16"/>
    <mergeCell ref="M16:N16"/>
    <mergeCell ref="O16:P16"/>
    <mergeCell ref="B21:C21"/>
    <mergeCell ref="D21:K21"/>
    <mergeCell ref="M21:N21"/>
    <mergeCell ref="O21:P21"/>
    <mergeCell ref="B22:C22"/>
    <mergeCell ref="D22:K22"/>
    <mergeCell ref="M22:N22"/>
    <mergeCell ref="O22:P22"/>
    <mergeCell ref="B19:C19"/>
    <mergeCell ref="D19:K19"/>
    <mergeCell ref="M19:N19"/>
    <mergeCell ref="O19:P19"/>
    <mergeCell ref="B20:C20"/>
    <mergeCell ref="D20:K20"/>
    <mergeCell ref="M20:N20"/>
    <mergeCell ref="O20:P20"/>
    <mergeCell ref="M25:N25"/>
    <mergeCell ref="O25:P25"/>
    <mergeCell ref="M26:N26"/>
    <mergeCell ref="O26:P26"/>
    <mergeCell ref="B28:Q28"/>
    <mergeCell ref="B30:Q30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B34:E34"/>
    <mergeCell ref="F34:Q34"/>
    <mergeCell ref="B35:E35"/>
    <mergeCell ref="F35:Q35"/>
    <mergeCell ref="B36:E36"/>
    <mergeCell ref="F36:J36"/>
    <mergeCell ref="K36:M36"/>
    <mergeCell ref="N36:Q36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14 B36" xr:uid="{A4E7D6C6-6F6C-4D13-BC31-23E5B3FD06E1}">
      <formula1>1</formula1>
      <formula2>100</formula2>
    </dataValidation>
  </dataValidations>
  <hyperlinks>
    <hyperlink ref="E8" r:id="rId1" xr:uid="{4AEB30DB-5949-4EF8-BD26-3D26D198FF38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0944-F22E-4DA6-BD76-4C8411384C07}">
  <sheetPr>
    <pageSetUpPr fitToPage="1"/>
  </sheetPr>
  <dimension ref="A1:AA47"/>
  <sheetViews>
    <sheetView showGridLines="0" view="pageBreakPreview" topLeftCell="A2" zoomScaleNormal="100" zoomScaleSheetLayoutView="100" workbookViewId="0">
      <selection activeCell="M15" sqref="M15:N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6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0" t="s">
        <v>1</v>
      </c>
      <c r="D3" s="121"/>
      <c r="E3" s="122">
        <v>45881</v>
      </c>
      <c r="F3" s="123"/>
      <c r="G3" s="5"/>
      <c r="I3" s="6"/>
      <c r="L3" s="152" t="s">
        <v>2</v>
      </c>
      <c r="M3" s="107" t="s">
        <v>3</v>
      </c>
      <c r="N3" s="72"/>
      <c r="O3" s="72"/>
      <c r="P3" s="72"/>
      <c r="Q3" s="118" t="s">
        <v>4</v>
      </c>
    </row>
    <row r="4" spans="2:27" ht="13.5" customHeight="1" x14ac:dyDescent="0.45">
      <c r="C4" s="149" t="s">
        <v>5</v>
      </c>
      <c r="D4" s="104"/>
      <c r="E4" s="104"/>
      <c r="F4" s="104"/>
      <c r="L4" s="153"/>
      <c r="M4" s="108"/>
      <c r="N4" s="71"/>
      <c r="O4" s="71"/>
      <c r="P4" s="71"/>
      <c r="Q4" s="93"/>
    </row>
    <row r="5" spans="2:27" ht="18" customHeight="1" x14ac:dyDescent="0.85">
      <c r="B5" s="8"/>
      <c r="C5" s="123"/>
      <c r="D5" s="123"/>
      <c r="E5" s="123"/>
      <c r="F5" s="123"/>
      <c r="G5" s="9" t="s">
        <v>6</v>
      </c>
      <c r="H5" s="10"/>
      <c r="I5" s="10"/>
      <c r="J5" s="10"/>
      <c r="L5" s="153"/>
      <c r="M5" s="59" t="s">
        <v>7</v>
      </c>
      <c r="N5" s="124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112" t="s">
        <v>11</v>
      </c>
      <c r="D6" s="79"/>
      <c r="E6" s="125" t="s">
        <v>70</v>
      </c>
      <c r="F6" s="104"/>
      <c r="G6" s="104"/>
      <c r="H6" s="14"/>
      <c r="I6" s="9"/>
      <c r="J6" s="15"/>
      <c r="L6" s="153"/>
      <c r="M6" s="59" t="s">
        <v>12</v>
      </c>
      <c r="N6" s="101" t="s">
        <v>13</v>
      </c>
      <c r="O6" s="87"/>
      <c r="P6" s="87"/>
      <c r="Q6" s="83"/>
      <c r="R6" s="16"/>
      <c r="S6" s="16"/>
      <c r="U6" s="75">
        <v>45881</v>
      </c>
      <c r="V6" s="76">
        <v>46016</v>
      </c>
      <c r="W6" s="7">
        <f>V6-U6</f>
        <v>135</v>
      </c>
    </row>
    <row r="7" spans="2:27" ht="21.75" customHeight="1" x14ac:dyDescent="0.6">
      <c r="B7" s="13"/>
      <c r="C7" s="112" t="s">
        <v>14</v>
      </c>
      <c r="D7" s="79"/>
      <c r="E7" s="125" t="s">
        <v>71</v>
      </c>
      <c r="F7" s="104"/>
      <c r="G7" s="104"/>
      <c r="H7" s="17"/>
      <c r="I7" s="18"/>
      <c r="J7" s="19"/>
      <c r="K7" s="19"/>
      <c r="L7" s="153"/>
      <c r="M7" s="59" t="s">
        <v>15</v>
      </c>
      <c r="N7" s="124" t="s">
        <v>16</v>
      </c>
      <c r="O7" s="83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12" t="s">
        <v>19</v>
      </c>
      <c r="D8" s="79"/>
      <c r="E8" s="129" t="s">
        <v>72</v>
      </c>
      <c r="F8" s="104"/>
      <c r="G8" s="104"/>
      <c r="H8" s="22"/>
      <c r="I8" s="18"/>
      <c r="J8" s="19"/>
      <c r="K8" s="19"/>
      <c r="L8" s="108"/>
      <c r="M8" s="59" t="s">
        <v>20</v>
      </c>
      <c r="N8" s="110" t="s">
        <v>21</v>
      </c>
      <c r="O8" s="87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8" t="s">
        <v>24</v>
      </c>
      <c r="D10" s="79"/>
      <c r="E10" s="134">
        <f>O26</f>
        <v>2618000</v>
      </c>
      <c r="F10" s="79"/>
      <c r="G10" s="79"/>
      <c r="H10" s="79"/>
      <c r="I10" s="155" t="s">
        <v>25</v>
      </c>
      <c r="J10" s="79"/>
      <c r="K10" s="79"/>
      <c r="L10" s="73" t="s">
        <v>26</v>
      </c>
      <c r="M10" s="151" t="s">
        <v>27</v>
      </c>
      <c r="N10" s="147"/>
      <c r="O10" s="146" t="s">
        <v>28</v>
      </c>
      <c r="P10" s="147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5"/>
      <c r="N11" s="106"/>
      <c r="O11" s="13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6" t="s">
        <v>32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3"/>
      <c r="T12" s="35" t="s">
        <v>33</v>
      </c>
    </row>
    <row r="13" spans="2:27" ht="22.5" customHeight="1" x14ac:dyDescent="0.45">
      <c r="B13" s="100" t="s">
        <v>34</v>
      </c>
      <c r="C13" s="83"/>
      <c r="D13" s="100" t="s">
        <v>35</v>
      </c>
      <c r="E13" s="87"/>
      <c r="F13" s="87"/>
      <c r="G13" s="87"/>
      <c r="H13" s="87"/>
      <c r="I13" s="87"/>
      <c r="J13" s="87"/>
      <c r="K13" s="83"/>
      <c r="L13" s="36" t="s">
        <v>36</v>
      </c>
      <c r="M13" s="100" t="s">
        <v>37</v>
      </c>
      <c r="N13" s="83"/>
      <c r="O13" s="100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99" t="s">
        <v>75</v>
      </c>
      <c r="E14" s="85"/>
      <c r="F14" s="85"/>
      <c r="G14" s="85"/>
      <c r="H14" s="85"/>
      <c r="I14" s="85"/>
      <c r="J14" s="85"/>
      <c r="K14" s="81"/>
      <c r="L14" s="38">
        <v>1</v>
      </c>
      <c r="M14" s="80">
        <v>2000000</v>
      </c>
      <c r="N14" s="81"/>
      <c r="O14" s="97">
        <f t="shared" ref="O14:O23" si="0">M14*L14</f>
        <v>2000000</v>
      </c>
      <c r="P14" s="83"/>
      <c r="Q14" s="156" t="s">
        <v>76</v>
      </c>
      <c r="T14" s="39">
        <v>1834980</v>
      </c>
      <c r="U14" s="39">
        <f>T14*L14</f>
        <v>1834980</v>
      </c>
      <c r="V14" s="41">
        <f t="shared" ref="V14:V23" si="1">O14-U14</f>
        <v>165020</v>
      </c>
      <c r="W14" s="42">
        <f t="shared" ref="W14:W24" si="2">V14/O14</f>
        <v>8.251E-2</v>
      </c>
      <c r="X14" s="66"/>
      <c r="Y14" s="44"/>
      <c r="AA14" s="45"/>
    </row>
    <row r="15" spans="2:27" ht="33" customHeight="1" x14ac:dyDescent="0.45">
      <c r="B15" s="82">
        <v>2</v>
      </c>
      <c r="C15" s="83"/>
      <c r="D15" s="99" t="s">
        <v>78</v>
      </c>
      <c r="E15" s="85"/>
      <c r="F15" s="85"/>
      <c r="G15" s="85"/>
      <c r="H15" s="85"/>
      <c r="I15" s="85"/>
      <c r="J15" s="85"/>
      <c r="K15" s="81"/>
      <c r="L15" s="38">
        <v>1</v>
      </c>
      <c r="M15" s="80">
        <v>380000</v>
      </c>
      <c r="N15" s="81"/>
      <c r="O15" s="97">
        <f t="shared" si="0"/>
        <v>380000</v>
      </c>
      <c r="P15" s="83"/>
      <c r="Q15" s="157"/>
      <c r="T15" s="39">
        <v>351900</v>
      </c>
      <c r="U15" s="40">
        <f t="shared" ref="U15:U23" si="3">L15*T15</f>
        <v>351900</v>
      </c>
      <c r="V15" s="41">
        <f t="shared" si="1"/>
        <v>28100</v>
      </c>
      <c r="W15" s="42">
        <f t="shared" si="2"/>
        <v>7.3947368421052637E-2</v>
      </c>
      <c r="X15" s="66"/>
      <c r="Y15" s="44"/>
      <c r="AA15" s="45"/>
    </row>
    <row r="16" spans="2:27" ht="33" customHeight="1" x14ac:dyDescent="0.45">
      <c r="B16" s="82">
        <v>3</v>
      </c>
      <c r="C16" s="83"/>
      <c r="D16" s="126"/>
      <c r="E16" s="85"/>
      <c r="F16" s="85"/>
      <c r="G16" s="85"/>
      <c r="H16" s="85"/>
      <c r="I16" s="85"/>
      <c r="J16" s="85"/>
      <c r="K16" s="81"/>
      <c r="L16" s="38"/>
      <c r="M16" s="80"/>
      <c r="N16" s="81"/>
      <c r="O16" s="97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154"/>
      <c r="E17" s="85"/>
      <c r="F17" s="85"/>
      <c r="G17" s="85"/>
      <c r="H17" s="85"/>
      <c r="I17" s="85"/>
      <c r="J17" s="85"/>
      <c r="K17" s="81"/>
      <c r="L17" s="38"/>
      <c r="M17" s="80"/>
      <c r="N17" s="81"/>
      <c r="O17" s="97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99"/>
      <c r="E18" s="85"/>
      <c r="F18" s="85"/>
      <c r="G18" s="85"/>
      <c r="H18" s="85"/>
      <c r="I18" s="85"/>
      <c r="J18" s="85"/>
      <c r="K18" s="81"/>
      <c r="L18" s="38"/>
      <c r="M18" s="80"/>
      <c r="N18" s="81"/>
      <c r="O18" s="97">
        <f t="shared" si="0"/>
        <v>0</v>
      </c>
      <c r="P18" s="83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45"/>
      <c r="E19" s="106"/>
      <c r="F19" s="106"/>
      <c r="G19" s="106"/>
      <c r="H19" s="106"/>
      <c r="I19" s="106"/>
      <c r="J19" s="106"/>
      <c r="K19" s="116"/>
      <c r="L19" s="69"/>
      <c r="M19" s="119"/>
      <c r="N19" s="116"/>
      <c r="O19" s="97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99"/>
      <c r="E20" s="85"/>
      <c r="F20" s="85"/>
      <c r="G20" s="85"/>
      <c r="H20" s="85"/>
      <c r="I20" s="85"/>
      <c r="J20" s="85"/>
      <c r="K20" s="81"/>
      <c r="L20" s="38"/>
      <c r="M20" s="80"/>
      <c r="N20" s="81"/>
      <c r="O20" s="97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99"/>
      <c r="E21" s="85"/>
      <c r="F21" s="85"/>
      <c r="G21" s="85"/>
      <c r="H21" s="85"/>
      <c r="I21" s="85"/>
      <c r="J21" s="85"/>
      <c r="K21" s="81"/>
      <c r="L21" s="38"/>
      <c r="M21" s="80"/>
      <c r="N21" s="81"/>
      <c r="O21" s="97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99"/>
      <c r="E22" s="85"/>
      <c r="F22" s="85"/>
      <c r="G22" s="85"/>
      <c r="H22" s="85"/>
      <c r="I22" s="85"/>
      <c r="J22" s="85"/>
      <c r="K22" s="81"/>
      <c r="L22" s="38"/>
      <c r="M22" s="80"/>
      <c r="N22" s="81"/>
      <c r="O22" s="97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99"/>
      <c r="E23" s="85"/>
      <c r="F23" s="85"/>
      <c r="G23" s="85"/>
      <c r="H23" s="85"/>
      <c r="I23" s="85"/>
      <c r="J23" s="85"/>
      <c r="K23" s="81"/>
      <c r="L23" s="38"/>
      <c r="M23" s="80"/>
      <c r="N23" s="81"/>
      <c r="O23" s="97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8" t="s">
        <v>45</v>
      </c>
      <c r="C24" s="89"/>
      <c r="D24" s="94" t="s">
        <v>46</v>
      </c>
      <c r="E24" s="95"/>
      <c r="F24" s="95"/>
      <c r="G24" s="95"/>
      <c r="H24" s="95"/>
      <c r="I24" s="142" t="s">
        <v>47</v>
      </c>
      <c r="J24" s="95"/>
      <c r="K24" s="95"/>
      <c r="L24" s="143"/>
      <c r="M24" s="111" t="s">
        <v>48</v>
      </c>
      <c r="N24" s="83"/>
      <c r="O24" s="148">
        <f>SUM(O14:P23)</f>
        <v>2380000</v>
      </c>
      <c r="P24" s="83"/>
      <c r="Q24" s="48"/>
      <c r="T24" s="39">
        <f>SUM(T14:T23)</f>
        <v>2186880</v>
      </c>
      <c r="U24" s="39">
        <f>SUM(U14:U23)</f>
        <v>2186880</v>
      </c>
      <c r="V24" s="39">
        <f>SUM(V14:V23)</f>
        <v>193120</v>
      </c>
      <c r="W24" s="42">
        <f t="shared" si="2"/>
        <v>8.1142857142857142E-2</v>
      </c>
      <c r="X24" s="43"/>
      <c r="Y24" s="44"/>
    </row>
    <row r="25" spans="2:25" ht="21" customHeight="1" x14ac:dyDescent="0.45">
      <c r="B25" s="90"/>
      <c r="C25" s="91"/>
      <c r="D25" s="113" t="s">
        <v>49</v>
      </c>
      <c r="E25" s="104"/>
      <c r="F25" s="104"/>
      <c r="G25" s="104"/>
      <c r="H25" s="104"/>
      <c r="I25" s="104"/>
      <c r="J25" s="104"/>
      <c r="K25" s="104"/>
      <c r="L25" s="114"/>
      <c r="M25" s="111" t="s">
        <v>50</v>
      </c>
      <c r="N25" s="83"/>
      <c r="O25" s="130">
        <f>O24*0.1</f>
        <v>238000</v>
      </c>
      <c r="P25" s="83"/>
      <c r="Q25" s="48"/>
      <c r="Y25" s="44"/>
    </row>
    <row r="26" spans="2:25" ht="21" customHeight="1" x14ac:dyDescent="0.45">
      <c r="B26" s="92"/>
      <c r="C26" s="93"/>
      <c r="D26" s="115"/>
      <c r="E26" s="106"/>
      <c r="F26" s="106"/>
      <c r="G26" s="106"/>
      <c r="H26" s="106"/>
      <c r="I26" s="106"/>
      <c r="J26" s="106"/>
      <c r="K26" s="106"/>
      <c r="L26" s="116"/>
      <c r="M26" s="111" t="s">
        <v>51</v>
      </c>
      <c r="N26" s="83"/>
      <c r="O26" s="130">
        <f>SUM(O24:P25)</f>
        <v>2618000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44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2:25" ht="13.5" customHeight="1" x14ac:dyDescent="0.45"/>
    <row r="30" spans="2:25" ht="12.75" customHeight="1" x14ac:dyDescent="0.45">
      <c r="B30" s="102" t="s">
        <v>52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</row>
    <row r="31" spans="2:25" ht="6.75" customHeight="1" x14ac:dyDescent="0.45"/>
    <row r="32" spans="2:25" ht="22.5" customHeight="1" x14ac:dyDescent="0.45">
      <c r="B32" s="86" t="s">
        <v>53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3"/>
      <c r="V32" s="50"/>
      <c r="W32" s="50"/>
    </row>
    <row r="33" spans="1:23" s="51" customFormat="1" ht="25.5" customHeight="1" x14ac:dyDescent="0.45">
      <c r="B33" s="109" t="s">
        <v>54</v>
      </c>
      <c r="C33" s="87"/>
      <c r="D33" s="87"/>
      <c r="E33" s="83"/>
      <c r="F33" s="128"/>
      <c r="G33" s="85"/>
      <c r="H33" s="81"/>
      <c r="I33" s="127" t="s">
        <v>55</v>
      </c>
      <c r="J33" s="87"/>
      <c r="K33" s="128"/>
      <c r="L33" s="85"/>
      <c r="M33" s="81"/>
      <c r="N33" s="109" t="s">
        <v>56</v>
      </c>
      <c r="O33" s="83"/>
      <c r="P33" s="84"/>
      <c r="Q33" s="81"/>
      <c r="W33" s="52"/>
    </row>
    <row r="34" spans="1:23" s="51" customFormat="1" ht="25.5" customHeight="1" x14ac:dyDescent="0.45">
      <c r="B34" s="109" t="s">
        <v>57</v>
      </c>
      <c r="C34" s="87"/>
      <c r="D34" s="87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1"/>
      <c r="W34" s="53"/>
    </row>
    <row r="35" spans="1:23" s="51" customFormat="1" ht="25.5" customHeight="1" x14ac:dyDescent="0.45">
      <c r="B35" s="109" t="s">
        <v>58</v>
      </c>
      <c r="C35" s="87"/>
      <c r="D35" s="87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1"/>
    </row>
    <row r="36" spans="1:23" ht="25.5" customHeight="1" x14ac:dyDescent="0.45">
      <c r="B36" s="109" t="s">
        <v>59</v>
      </c>
      <c r="C36" s="87"/>
      <c r="D36" s="87"/>
      <c r="E36" s="83"/>
      <c r="F36" s="128"/>
      <c r="G36" s="85"/>
      <c r="H36" s="85"/>
      <c r="I36" s="85"/>
      <c r="J36" s="81"/>
      <c r="K36" s="139" t="s">
        <v>60</v>
      </c>
      <c r="L36" s="87"/>
      <c r="M36" s="83"/>
      <c r="N36" s="150"/>
      <c r="O36" s="85"/>
      <c r="P36" s="85"/>
      <c r="Q36" s="81"/>
    </row>
    <row r="37" spans="1:23" ht="25.5" customHeight="1" x14ac:dyDescent="0.45">
      <c r="B37" s="136" t="s">
        <v>61</v>
      </c>
      <c r="C37" s="137"/>
      <c r="D37" s="89"/>
      <c r="E37" s="98" t="s">
        <v>62</v>
      </c>
      <c r="F37" s="83"/>
      <c r="G37" s="140"/>
      <c r="H37" s="85"/>
      <c r="I37" s="85"/>
      <c r="J37" s="85"/>
      <c r="K37" s="81"/>
      <c r="L37" s="109" t="s">
        <v>63</v>
      </c>
      <c r="M37" s="83"/>
      <c r="N37" s="84"/>
      <c r="O37" s="85"/>
      <c r="P37" s="85"/>
      <c r="Q37" s="81"/>
    </row>
    <row r="38" spans="1:23" ht="25.5" customHeight="1" x14ac:dyDescent="0.45">
      <c r="B38" s="92"/>
      <c r="C38" s="138"/>
      <c r="D38" s="93"/>
      <c r="E38" s="109" t="s">
        <v>64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1"/>
    </row>
    <row r="39" spans="1:23" ht="15" customHeight="1" x14ac:dyDescent="0.45"/>
    <row r="40" spans="1:23" ht="12.75" customHeight="1" x14ac:dyDescent="0.45">
      <c r="B40" s="117" t="s">
        <v>65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7"/>
      <c r="C42" s="79"/>
      <c r="D42" s="79"/>
      <c r="E42" s="79"/>
      <c r="F42" s="79"/>
      <c r="G42" s="79"/>
      <c r="H42" s="131" t="s">
        <v>66</v>
      </c>
      <c r="I42" s="104"/>
      <c r="J42" s="104"/>
      <c r="K42" s="104"/>
      <c r="L42" s="104"/>
      <c r="M42" s="104"/>
      <c r="N42" s="141" t="s">
        <v>67</v>
      </c>
      <c r="O42" s="104"/>
      <c r="P42" s="104"/>
      <c r="Q42" s="104"/>
    </row>
    <row r="43" spans="1:23" ht="30" customHeight="1" x14ac:dyDescent="0.45">
      <c r="B43" s="103"/>
      <c r="C43" s="104"/>
      <c r="D43" s="133"/>
      <c r="E43" s="104"/>
      <c r="F43" s="104"/>
      <c r="G43" s="104"/>
      <c r="H43" s="104"/>
      <c r="I43" s="104"/>
      <c r="J43" s="104"/>
      <c r="K43" s="104"/>
      <c r="L43" s="54"/>
      <c r="M43" s="132"/>
      <c r="N43" s="79"/>
      <c r="O43" s="132"/>
      <c r="P43" s="79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2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C10:D10"/>
    <mergeCell ref="E10:H10"/>
    <mergeCell ref="I10:K10"/>
    <mergeCell ref="M10:N10"/>
    <mergeCell ref="O10:P10"/>
    <mergeCell ref="M11:N11"/>
    <mergeCell ref="O11:P11"/>
    <mergeCell ref="N6:Q6"/>
    <mergeCell ref="C7:D7"/>
    <mergeCell ref="E7:G7"/>
    <mergeCell ref="N7:O7"/>
    <mergeCell ref="C8:D8"/>
    <mergeCell ref="E8:G8"/>
    <mergeCell ref="N8:O8"/>
    <mergeCell ref="B12:Q12"/>
    <mergeCell ref="B13:C13"/>
    <mergeCell ref="D13:K13"/>
    <mergeCell ref="M13:N13"/>
    <mergeCell ref="O13:P13"/>
    <mergeCell ref="B14:C14"/>
    <mergeCell ref="D14:K14"/>
    <mergeCell ref="M14:N14"/>
    <mergeCell ref="O14:P14"/>
    <mergeCell ref="Q14:Q15"/>
    <mergeCell ref="B17:C17"/>
    <mergeCell ref="D17:K17"/>
    <mergeCell ref="M17:N17"/>
    <mergeCell ref="O17:P17"/>
    <mergeCell ref="B18:C18"/>
    <mergeCell ref="D18:K18"/>
    <mergeCell ref="M18:N18"/>
    <mergeCell ref="O18:P18"/>
    <mergeCell ref="B15:C15"/>
    <mergeCell ref="D15:K15"/>
    <mergeCell ref="M15:N15"/>
    <mergeCell ref="O15:P15"/>
    <mergeCell ref="B16:C16"/>
    <mergeCell ref="D16:K16"/>
    <mergeCell ref="M16:N16"/>
    <mergeCell ref="O16:P16"/>
    <mergeCell ref="B21:C21"/>
    <mergeCell ref="D21:K21"/>
    <mergeCell ref="M21:N21"/>
    <mergeCell ref="O21:P21"/>
    <mergeCell ref="B22:C22"/>
    <mergeCell ref="D22:K22"/>
    <mergeCell ref="M22:N22"/>
    <mergeCell ref="O22:P22"/>
    <mergeCell ref="B19:C19"/>
    <mergeCell ref="D19:K19"/>
    <mergeCell ref="M19:N19"/>
    <mergeCell ref="O19:P19"/>
    <mergeCell ref="B20:C20"/>
    <mergeCell ref="D20:K20"/>
    <mergeCell ref="M20:N20"/>
    <mergeCell ref="O20:P20"/>
    <mergeCell ref="M25:N25"/>
    <mergeCell ref="O25:P25"/>
    <mergeCell ref="M26:N26"/>
    <mergeCell ref="O26:P26"/>
    <mergeCell ref="B28:Q28"/>
    <mergeCell ref="B30:Q30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B34:E34"/>
    <mergeCell ref="F34:Q34"/>
    <mergeCell ref="B35:E35"/>
    <mergeCell ref="F35:Q35"/>
    <mergeCell ref="B36:E36"/>
    <mergeCell ref="F36:J36"/>
    <mergeCell ref="K36:M36"/>
    <mergeCell ref="N36:Q36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14 B36" xr:uid="{B24FD4DF-8361-40BA-8CE0-C7515A041269}">
      <formula1>1</formula1>
      <formula2>100</formula2>
    </dataValidation>
  </dataValidations>
  <hyperlinks>
    <hyperlink ref="E8" r:id="rId1" xr:uid="{7AEA13A2-FB1F-4BD0-93B7-364F19B623CB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579E5-BEA6-436D-BA57-FA5023E14D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07A71-84F2-48FA-9BF3-97F640E1BADC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B8BF26D1-DF65-4CE6-A3E6-B97C63371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1</vt:lpstr>
      <vt:lpstr>1 (2)</vt:lpstr>
      <vt:lpstr>1 (3)</vt:lpstr>
      <vt:lpstr>1 (4)</vt:lpstr>
      <vt:lpstr>'1'!Print_Area</vt:lpstr>
      <vt:lpstr>'1 (2)'!Print_Area</vt:lpstr>
      <vt:lpstr>'1 (3)'!Print_Area</vt:lpstr>
      <vt:lpstr>'1 (4)'!Print_Area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2025-08-12T01:29:49Z</cp:lastPrinted>
  <dcterms:created xsi:type="dcterms:W3CDTF">2021-12-09T03:53:36Z</dcterms:created>
  <dcterms:modified xsi:type="dcterms:W3CDTF">2025-08-14T01:11:41Z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