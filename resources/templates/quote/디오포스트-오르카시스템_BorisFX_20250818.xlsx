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qvcloud.sharepoint.com/sites/newmd/Shared Documents/@Renewal 관리/quote/"/>
    </mc:Choice>
  </mc:AlternateContent>
  <xr:revisionPtr revIDLastSave="1" documentId="11_B1B4F7044AA10769A36CD8010D21B83034B32D21" xr6:coauthVersionLast="47" xr6:coauthVersionMax="47" xr10:uidLastSave="{041419EF-9EE0-499E-AB06-72A3B5EFB1CB}"/>
  <bookViews>
    <workbookView xWindow="34452" yWindow="-108" windowWidth="30936" windowHeight="16776" xr2:uid="{00000000-000D-0000-FFFF-FFFF00000000}"/>
  </bookViews>
  <sheets>
    <sheet name="1" sheetId="1" r:id="rId1"/>
  </sheets>
  <definedNames>
    <definedName name="_xlnm.Print_Area" localSheetId="0">'1'!$A$1:$R$49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4" i="1" l="1"/>
  <c r="U23" i="1"/>
  <c r="O23" i="1"/>
  <c r="V23" i="1" s="1"/>
  <c r="W23" i="1" s="1"/>
  <c r="U22" i="1"/>
  <c r="O22" i="1"/>
  <c r="V22" i="1" s="1"/>
  <c r="W22" i="1" s="1"/>
  <c r="U21" i="1"/>
  <c r="O21" i="1"/>
  <c r="V21" i="1" s="1"/>
  <c r="W21" i="1" s="1"/>
  <c r="U20" i="1"/>
  <c r="V20" i="1" s="1"/>
  <c r="W20" i="1" s="1"/>
  <c r="O20" i="1"/>
  <c r="U19" i="1"/>
  <c r="O19" i="1"/>
  <c r="V19" i="1" s="1"/>
  <c r="W19" i="1" s="1"/>
  <c r="U18" i="1"/>
  <c r="O18" i="1"/>
  <c r="V18" i="1" s="1"/>
  <c r="W18" i="1" s="1"/>
  <c r="U17" i="1"/>
  <c r="O17" i="1"/>
  <c r="V17" i="1" s="1"/>
  <c r="W17" i="1" s="1"/>
  <c r="U16" i="1"/>
  <c r="O16" i="1"/>
  <c r="V16" i="1" s="1"/>
  <c r="W16" i="1" s="1"/>
  <c r="U15" i="1"/>
  <c r="O15" i="1"/>
  <c r="V15" i="1" s="1"/>
  <c r="W15" i="1" s="1"/>
  <c r="W14" i="1"/>
  <c r="V14" i="1"/>
  <c r="U14" i="1"/>
  <c r="U24" i="1" s="1"/>
  <c r="O14" i="1"/>
  <c r="V24" i="1" l="1"/>
  <c r="O24" i="1"/>
  <c r="O25" i="1" l="1"/>
  <c r="O26" i="1" s="1"/>
  <c r="E10" i="1" s="1"/>
  <c r="W24" i="1"/>
</calcChain>
</file>

<file path=xl/sharedStrings.xml><?xml version="1.0" encoding="utf-8"?>
<sst xmlns="http://schemas.openxmlformats.org/spreadsheetml/2006/main" count="71" uniqueCount="71">
  <si>
    <t xml:space="preserve"> *   견 적 서   *</t>
  </si>
  <si>
    <t>견적일자</t>
  </si>
  <si>
    <t>공
급
자</t>
  </si>
  <si>
    <t>상  호</t>
  </si>
  <si>
    <t>큐브렉스</t>
  </si>
  <si>
    <t>디오포스트 - 오르카시스템</t>
  </si>
  <si>
    <t>귀중</t>
  </si>
  <si>
    <t>사업자번호</t>
  </si>
  <si>
    <t>120-87-07477</t>
  </si>
  <si>
    <t>대 표 자</t>
  </si>
  <si>
    <t>김민용</t>
  </si>
  <si>
    <t xml:space="preserve">담 당 자 </t>
  </si>
  <si>
    <t>사업장소재</t>
  </si>
  <si>
    <t>서울시 성동구 연무장5가길 7 현대테라스타워 w904호</t>
  </si>
  <si>
    <t>연락처</t>
  </si>
  <si>
    <t>업  태</t>
  </si>
  <si>
    <t>서비스</t>
  </si>
  <si>
    <t>종  목</t>
  </si>
  <si>
    <t>소프트웨어개발자문 및 공급</t>
  </si>
  <si>
    <t>이메일</t>
  </si>
  <si>
    <t>전  화</t>
  </si>
  <si>
    <t>02-561-1770</t>
  </si>
  <si>
    <t>F A X</t>
  </si>
  <si>
    <t>02-561-1787</t>
  </si>
  <si>
    <t>견적총액</t>
  </si>
  <si>
    <t>(부가세 포함)</t>
  </si>
  <si>
    <t>담당자</t>
  </si>
  <si>
    <t>김한경 팀장</t>
  </si>
  <si>
    <t>010-3163-0955</t>
  </si>
  <si>
    <t>kimhk@qvrex.co.kr</t>
  </si>
  <si>
    <t>* 폐사와 거래에 감사드리며, 하기와 같이 견적드립니다.</t>
  </si>
  <si>
    <t>기존 견적서와 서식이 동일하게 적용된 양식입니다.</t>
  </si>
  <si>
    <t>Order Detail</t>
  </si>
  <si>
    <t xml:space="preserve">매출단가 / 매입단가를 입력하면 합계액,이익,이익율이 자동 계산됩니다. </t>
  </si>
  <si>
    <t>No</t>
  </si>
  <si>
    <t>Product</t>
  </si>
  <si>
    <t>Q'ty</t>
  </si>
  <si>
    <t>단가</t>
  </si>
  <si>
    <t>합계</t>
  </si>
  <si>
    <t>비고</t>
  </si>
  <si>
    <t>매입단가</t>
  </si>
  <si>
    <t>매입합계</t>
  </si>
  <si>
    <t>이익</t>
  </si>
  <si>
    <t>이익률</t>
  </si>
  <si>
    <t>매입처</t>
  </si>
  <si>
    <t>Sapphire (Adobe/OFX ) Annual - Renewal</t>
  </si>
  <si>
    <t>견적
참고
사항</t>
  </si>
  <si>
    <t>* 지급 조건 : 익월 말 현금</t>
  </si>
  <si>
    <t>* 납품 기일 : 발주 후 3 영업일 이내</t>
  </si>
  <si>
    <t>공급가액</t>
  </si>
  <si>
    <t xml:space="preserve"> - 견적 유효 기간 2주일.</t>
  </si>
  <si>
    <t>부가세</t>
  </si>
  <si>
    <t>총 합계</t>
  </si>
  <si>
    <t>견적서를 검토하신 후, 하단의 내용을 작성하여 회신해주시는 경우, 본 내용은 발주서를 대체하는 효력을 가집니다.</t>
  </si>
  <si>
    <t>고객 정보</t>
  </si>
  <si>
    <t xml:space="preserve"> 고객사명 (국문) *</t>
  </si>
  <si>
    <t xml:space="preserve"> 고객사명 (영문)</t>
  </si>
  <si>
    <t xml:space="preserve"> 사업자등록번호</t>
  </si>
  <si>
    <t xml:space="preserve"> 주소 (국문) *</t>
  </si>
  <si>
    <t xml:space="preserve"> 주소 (영문)</t>
  </si>
  <si>
    <t xml:space="preserve"> 결제예정일 *</t>
  </si>
  <si>
    <t xml:space="preserve"> 세금계산서 수신 E-mail *</t>
  </si>
  <si>
    <t>IT
담당자
/사용자</t>
  </si>
  <si>
    <t xml:space="preserve"> 담당자명(국문/영문)</t>
  </si>
  <si>
    <t xml:space="preserve"> 담당자 연락처</t>
  </si>
  <si>
    <t xml:space="preserve"> 라이선스 발급 E-mail</t>
  </si>
  <si>
    <t>* 당사는 이 견적서의 가격 및 견적 조건을 확인하였으며, 이 견적서를 공식 발주서로 대신하고자 합니다.</t>
  </si>
  <si>
    <t>______________년 ________월 _________일</t>
  </si>
  <si>
    <t>대표(이사) : ___________________________(인)</t>
  </si>
  <si>
    <t>Your IT Navigator</t>
  </si>
  <si>
    <t xml:space="preserve">www.QVREX.co.kr  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</si>
</sst>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24" formatCode="\$#,##0_);[Red]\(\$#,##0\)"/>
    <numFmt numFmtId="176" formatCode="0_);[Red]\(0\)"/>
    <numFmt numFmtId="177" formatCode="_-[$₩-412]* #,##0_-;\-[$₩-412]* #,##0_-;_-[$₩-412]* &quot;-&quot;??_-;_-@_-"/>
  </numFmts>
  <fonts count="25" x14ac:knownFonts="1"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2"/>
      <color theme="0"/>
      <name val="맑은 고딕"/>
      <family val="3"/>
      <charset val="129"/>
      <scheme val="minor"/>
    </font>
    <font>
      <b/>
      <sz val="28"/>
      <color theme="0"/>
      <name val="맑은 고딕"/>
      <family val="3"/>
      <charset val="129"/>
      <scheme val="minor"/>
    </font>
    <font>
      <u/>
      <sz val="9"/>
      <color theme="1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b/>
      <sz val="13"/>
      <name val="맑은 고딕"/>
      <family val="3"/>
      <charset val="129"/>
      <scheme val="minor"/>
    </font>
    <font>
      <b/>
      <sz val="13"/>
      <color theme="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0"/>
      <color theme="1" tint="0.249977111117893"/>
      <name val="맑은 고딕"/>
      <family val="3"/>
      <charset val="129"/>
      <scheme val="minor"/>
    </font>
    <font>
      <sz val="10"/>
      <color theme="1" tint="0.249977111117893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b/>
      <sz val="9.5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41" fontId="1" fillId="0" borderId="0">
      <alignment vertical="center"/>
    </xf>
    <xf numFmtId="9" fontId="1" fillId="0" borderId="0">
      <alignment vertical="center"/>
    </xf>
    <xf numFmtId="0" fontId="5" fillId="0" borderId="0">
      <alignment vertical="center"/>
    </xf>
  </cellStyleXfs>
  <cellXfs count="152"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0" fontId="5" fillId="0" borderId="0" xfId="3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0" borderId="0" xfId="0" applyAlignment="1" applyProtection="1">
      <protection locked="0"/>
    </xf>
    <xf numFmtId="14" fontId="0" fillId="0" borderId="0" xfId="0" applyNumberFormat="1" applyAlignment="1">
      <alignment horizontal="right"/>
    </xf>
    <xf numFmtId="0" fontId="0" fillId="0" borderId="0" xfId="0" applyAlignment="1"/>
    <xf numFmtId="0" fontId="10" fillId="0" borderId="0" xfId="0" applyFont="1" applyAlignment="1"/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9" fillId="0" borderId="7" xfId="0" applyFont="1" applyBorder="1" applyAlignment="1">
      <alignment horizontal="center" vertical="center"/>
    </xf>
    <xf numFmtId="0" fontId="9" fillId="0" borderId="9" xfId="0" applyFont="1" applyBorder="1" applyAlignment="1">
      <alignment horizontal="left" vertical="center" indent="1"/>
    </xf>
    <xf numFmtId="0" fontId="13" fillId="0" borderId="0" xfId="0" applyFont="1" applyAlignment="1">
      <alignment horizontal="distributed" justifyLastLine="1"/>
    </xf>
    <xf numFmtId="0" fontId="14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5" fillId="0" borderId="0" xfId="0" applyFont="1">
      <alignment vertical="center"/>
    </xf>
    <xf numFmtId="0" fontId="11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13" fillId="0" borderId="0" xfId="0" applyFont="1" applyAlignment="1" applyProtection="1">
      <alignment vertical="center" shrinkToFit="1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6" xfId="0" applyFont="1" applyBorder="1" applyAlignment="1" applyProtection="1">
      <alignment horizontal="left" vertical="center" indent="1" shrinkToFit="1"/>
      <protection locked="0"/>
    </xf>
    <xf numFmtId="0" fontId="13" fillId="0" borderId="0" xfId="0" applyFont="1" applyProtection="1">
      <alignment vertical="center"/>
      <protection locked="0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left" vertical="center" indent="1"/>
      <protection locked="0"/>
    </xf>
    <xf numFmtId="0" fontId="14" fillId="0" borderId="0" xfId="0" applyFont="1" applyAlignment="1">
      <alignment horizontal="left" indent="2"/>
    </xf>
    <xf numFmtId="0" fontId="6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2" xfId="0" applyFont="1" applyBorder="1" applyAlignment="1">
      <alignment horizontal="left" vertical="center"/>
    </xf>
    <xf numFmtId="0" fontId="15" fillId="0" borderId="12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left" vertical="center"/>
      <protection locked="0"/>
    </xf>
    <xf numFmtId="0" fontId="13" fillId="0" borderId="0" xfId="0" applyFont="1" applyAlignment="1"/>
    <xf numFmtId="0" fontId="16" fillId="0" borderId="0" xfId="0" applyFont="1">
      <alignment vertical="center"/>
    </xf>
    <xf numFmtId="0" fontId="16" fillId="0" borderId="0" xfId="0" applyFont="1" applyAlignment="1">
      <alignment vertical="center" shrinkToFit="1"/>
    </xf>
    <xf numFmtId="0" fontId="16" fillId="0" borderId="1" xfId="0" applyFont="1" applyBorder="1" applyAlignment="1" applyProtection="1">
      <alignment horizontal="left" vertical="center" shrinkToFit="1"/>
      <protection locked="0"/>
    </xf>
    <xf numFmtId="0" fontId="18" fillId="0" borderId="0" xfId="0" applyFont="1">
      <alignment vertical="center"/>
    </xf>
    <xf numFmtId="0" fontId="19" fillId="4" borderId="9" xfId="0" applyFont="1" applyFill="1" applyBorder="1" applyAlignment="1">
      <alignment horizontal="center" vertical="center"/>
    </xf>
    <xf numFmtId="0" fontId="13" fillId="4" borderId="9" xfId="0" applyFont="1" applyFill="1" applyBorder="1" applyAlignment="1">
      <alignment horizontal="center" vertical="center"/>
    </xf>
    <xf numFmtId="176" fontId="20" fillId="0" borderId="9" xfId="0" applyNumberFormat="1" applyFont="1" applyBorder="1" applyAlignment="1" applyProtection="1">
      <alignment horizontal="center" vertical="center"/>
      <protection locked="0"/>
    </xf>
    <xf numFmtId="41" fontId="20" fillId="0" borderId="9" xfId="1" applyFont="1" applyBorder="1" applyProtection="1">
      <alignment vertical="center"/>
      <protection locked="0"/>
    </xf>
    <xf numFmtId="41" fontId="20" fillId="0" borderId="8" xfId="1" applyFont="1" applyBorder="1" applyProtection="1">
      <alignment vertical="center"/>
      <protection locked="0"/>
    </xf>
    <xf numFmtId="41" fontId="20" fillId="0" borderId="11" xfId="1" applyFont="1" applyBorder="1" applyProtection="1">
      <alignment vertical="center"/>
      <protection locked="0"/>
    </xf>
    <xf numFmtId="10" fontId="13" fillId="0" borderId="9" xfId="2" applyNumberFormat="1" applyFont="1" applyBorder="1" applyAlignment="1" applyProtection="1">
      <alignment horizontal="center" vertical="center"/>
      <protection locked="0"/>
    </xf>
    <xf numFmtId="9" fontId="20" fillId="0" borderId="8" xfId="1" applyNumberFormat="1" applyFont="1" applyBorder="1" applyProtection="1">
      <alignment vertical="center"/>
      <protection locked="0"/>
    </xf>
    <xf numFmtId="0" fontId="0" fillId="0" borderId="0" xfId="0" applyProtection="1">
      <alignment vertical="center"/>
      <protection locked="0"/>
    </xf>
    <xf numFmtId="41" fontId="0" fillId="0" borderId="0" xfId="1" applyFont="1">
      <alignment vertical="center"/>
    </xf>
    <xf numFmtId="41" fontId="6" fillId="0" borderId="9" xfId="1" applyFont="1" applyBorder="1" applyAlignment="1" applyProtection="1">
      <alignment horizontal="center" vertical="center"/>
      <protection locked="0"/>
    </xf>
    <xf numFmtId="24" fontId="20" fillId="0" borderId="8" xfId="1" applyNumberFormat="1" applyFont="1" applyBorder="1" applyProtection="1">
      <alignment vertical="center"/>
      <protection locked="0"/>
    </xf>
    <xf numFmtId="41" fontId="6" fillId="0" borderId="9" xfId="1" applyFont="1" applyBorder="1" applyProtection="1">
      <alignment vertical="center"/>
      <protection locked="0"/>
    </xf>
    <xf numFmtId="10" fontId="0" fillId="0" borderId="0" xfId="0" applyNumberFormat="1">
      <alignment vertical="center"/>
    </xf>
    <xf numFmtId="41" fontId="0" fillId="0" borderId="0" xfId="0" applyNumberFormat="1">
      <alignment vertical="center"/>
    </xf>
    <xf numFmtId="0" fontId="0" fillId="0" borderId="0" xfId="0" applyAlignment="1">
      <alignment horizontal="left" vertical="center"/>
    </xf>
    <xf numFmtId="41" fontId="0" fillId="0" borderId="0" xfId="1" applyFont="1" applyAlignment="1">
      <alignment horizontal="left" vertical="center"/>
    </xf>
    <xf numFmtId="41" fontId="0" fillId="0" borderId="0" xfId="0" applyNumberFormat="1" applyAlignment="1">
      <alignment horizontal="left" vertical="center"/>
    </xf>
    <xf numFmtId="176" fontId="20" fillId="0" borderId="0" xfId="0" applyNumberFormat="1" applyFont="1" applyAlignment="1">
      <alignment horizontal="center" vertical="center"/>
    </xf>
    <xf numFmtId="41" fontId="6" fillId="0" borderId="0" xfId="1" applyFont="1">
      <alignment vertical="center"/>
    </xf>
    <xf numFmtId="0" fontId="5" fillId="0" borderId="0" xfId="3">
      <alignment vertical="center"/>
    </xf>
    <xf numFmtId="0" fontId="22" fillId="2" borderId="0" xfId="0" applyFont="1" applyFill="1">
      <alignment vertical="center"/>
    </xf>
    <xf numFmtId="0" fontId="22" fillId="2" borderId="0" xfId="0" applyFont="1" applyFill="1" applyAlignment="1">
      <alignment horizontal="right" vertical="center"/>
    </xf>
    <xf numFmtId="0" fontId="9" fillId="0" borderId="5" xfId="0" applyFont="1" applyBorder="1" applyAlignment="1">
      <alignment horizontal="center" vertical="center"/>
    </xf>
    <xf numFmtId="0" fontId="13" fillId="0" borderId="0" xfId="0" applyFont="1" applyAlignment="1">
      <alignment horizontal="distributed"/>
    </xf>
    <xf numFmtId="0" fontId="19" fillId="4" borderId="8" xfId="0" applyFont="1" applyFill="1" applyBorder="1" applyAlignment="1">
      <alignment horizontal="center" vertical="center"/>
    </xf>
    <xf numFmtId="0" fontId="19" fillId="4" borderId="11" xfId="0" applyFont="1" applyFill="1" applyBorder="1" applyAlignment="1">
      <alignment horizontal="center" vertical="center"/>
    </xf>
    <xf numFmtId="0" fontId="21" fillId="0" borderId="0" xfId="0" applyFont="1">
      <alignment vertical="center"/>
    </xf>
    <xf numFmtId="41" fontId="9" fillId="0" borderId="9" xfId="1" applyFont="1" applyBorder="1" applyAlignment="1" applyProtection="1">
      <alignment horizontal="center" vertical="center" wrapText="1"/>
      <protection locked="0"/>
    </xf>
    <xf numFmtId="43" fontId="0" fillId="0" borderId="0" xfId="0" applyNumberFormat="1">
      <alignment vertical="center"/>
    </xf>
    <xf numFmtId="9" fontId="20" fillId="0" borderId="8" xfId="1" applyNumberFormat="1" applyFont="1" applyBorder="1" applyAlignment="1" applyProtection="1">
      <alignment vertical="center" wrapText="1"/>
      <protection locked="0"/>
    </xf>
    <xf numFmtId="0" fontId="0" fillId="0" borderId="0" xfId="2" applyNumberFormat="1" applyFont="1">
      <alignment vertical="center"/>
    </xf>
    <xf numFmtId="24" fontId="0" fillId="0" borderId="0" xfId="0" applyNumberFormat="1">
      <alignment vertical="center"/>
    </xf>
    <xf numFmtId="176" fontId="20" fillId="0" borderId="5" xfId="0" applyNumberFormat="1" applyFont="1" applyBorder="1" applyAlignment="1" applyProtection="1">
      <alignment horizontal="center" vertical="center"/>
      <protection locked="0"/>
    </xf>
    <xf numFmtId="41" fontId="23" fillId="0" borderId="9" xfId="1" applyFont="1" applyBorder="1" applyAlignment="1" applyProtection="1">
      <alignment horizontal="center" vertical="center" wrapText="1"/>
      <protection locked="0"/>
    </xf>
    <xf numFmtId="0" fontId="9" fillId="0" borderId="1" xfId="0" applyFont="1" applyBorder="1">
      <alignment vertical="center"/>
    </xf>
    <xf numFmtId="0" fontId="9" fillId="0" borderId="0" xfId="0" applyFont="1">
      <alignment vertical="center"/>
    </xf>
    <xf numFmtId="0" fontId="24" fillId="0" borderId="9" xfId="0" applyFont="1" applyBorder="1" applyAlignment="1" applyProtection="1">
      <alignment horizontal="center" vertical="center" wrapText="1" shrinkToFit="1"/>
      <protection locked="0"/>
    </xf>
    <xf numFmtId="0" fontId="13" fillId="0" borderId="8" xfId="0" applyFont="1" applyBorder="1" applyAlignment="1" applyProtection="1">
      <alignment horizontal="center" vertical="center" shrinkToFit="1"/>
      <protection locked="0"/>
    </xf>
    <xf numFmtId="41" fontId="20" fillId="0" borderId="0" xfId="1" applyFont="1" applyAlignment="1">
      <alignment horizontal="center" vertical="center"/>
    </xf>
    <xf numFmtId="0" fontId="0" fillId="0" borderId="0" xfId="0" applyAlignment="1"/>
    <xf numFmtId="0" fontId="13" fillId="0" borderId="0" xfId="0" applyFont="1" applyAlignment="1">
      <alignment horizontal="distributed"/>
    </xf>
    <xf numFmtId="0" fontId="19" fillId="0" borderId="9" xfId="0" applyFont="1" applyBorder="1" applyProtection="1">
      <alignment vertical="center"/>
      <protection locked="0"/>
    </xf>
    <xf numFmtId="0" fontId="0" fillId="0" borderId="11" xfId="0" applyBorder="1" applyAlignment="1" applyProtection="1">
      <protection locked="0"/>
    </xf>
    <xf numFmtId="0" fontId="0" fillId="0" borderId="8" xfId="0" applyBorder="1" applyAlignment="1" applyProtection="1">
      <protection locked="0"/>
    </xf>
    <xf numFmtId="0" fontId="21" fillId="0" borderId="0" xfId="0" applyFont="1">
      <alignment vertical="center"/>
    </xf>
    <xf numFmtId="0" fontId="17" fillId="0" borderId="2" xfId="0" applyFont="1" applyBorder="1" applyAlignment="1" applyProtection="1">
      <alignment horizontal="center"/>
      <protection locked="0"/>
    </xf>
    <xf numFmtId="0" fontId="0" fillId="0" borderId="0" xfId="0" applyAlignment="1" applyProtection="1">
      <protection locked="0"/>
    </xf>
    <xf numFmtId="0" fontId="0" fillId="0" borderId="2" xfId="0" applyBorder="1" applyAlignment="1" applyProtection="1">
      <protection locked="0"/>
    </xf>
    <xf numFmtId="0" fontId="6" fillId="0" borderId="9" xfId="0" applyFont="1" applyBorder="1" applyAlignment="1">
      <alignment horizontal="center" vertical="center"/>
    </xf>
    <xf numFmtId="0" fontId="0" fillId="0" borderId="8" xfId="0" applyBorder="1" applyAlignment="1"/>
    <xf numFmtId="41" fontId="20" fillId="0" borderId="9" xfId="1" applyFont="1" applyBorder="1" applyAlignment="1">
      <alignment horizontal="center" vertical="center"/>
    </xf>
    <xf numFmtId="0" fontId="19" fillId="4" borderId="9" xfId="0" applyFont="1" applyFill="1" applyBorder="1" applyAlignment="1">
      <alignment horizontal="left" vertical="center"/>
    </xf>
    <xf numFmtId="0" fontId="0" fillId="0" borderId="11" xfId="0" applyBorder="1" applyAlignment="1"/>
    <xf numFmtId="0" fontId="19" fillId="0" borderId="8" xfId="0" applyFont="1" applyBorder="1" applyProtection="1">
      <alignment vertical="center"/>
      <protection locked="0"/>
    </xf>
    <xf numFmtId="0" fontId="12" fillId="3" borderId="9" xfId="0" applyFont="1" applyFill="1" applyBorder="1" applyAlignment="1">
      <alignment horizontal="center" vertical="center"/>
    </xf>
    <xf numFmtId="0" fontId="13" fillId="0" borderId="18" xfId="0" applyFont="1" applyBorder="1" applyAlignment="1" applyProtection="1">
      <alignment horizontal="center" vertical="center" shrinkToFit="1"/>
      <protection locked="0"/>
    </xf>
    <xf numFmtId="0" fontId="0" fillId="0" borderId="18" xfId="0" applyBorder="1" applyAlignment="1" applyProtection="1">
      <protection locked="0"/>
    </xf>
    <xf numFmtId="0" fontId="8" fillId="0" borderId="9" xfId="0" applyFont="1" applyBorder="1" applyAlignment="1">
      <alignment horizontal="center" vertical="center" wrapText="1"/>
    </xf>
    <xf numFmtId="0" fontId="0" fillId="0" borderId="4" xfId="0" applyBorder="1" applyAlignment="1"/>
    <xf numFmtId="0" fontId="0" fillId="0" borderId="5" xfId="0" applyBorder="1" applyAlignment="1"/>
    <xf numFmtId="41" fontId="19" fillId="0" borderId="9" xfId="1" applyFont="1" applyBorder="1" applyAlignment="1">
      <alignment horizontal="right" vertical="center"/>
    </xf>
    <xf numFmtId="0" fontId="9" fillId="0" borderId="9" xfId="0" applyFont="1" applyBorder="1" applyAlignment="1">
      <alignment horizontal="left" vertical="center" indent="1"/>
    </xf>
    <xf numFmtId="0" fontId="14" fillId="0" borderId="0" xfId="0" applyFont="1" applyAlignment="1" applyProtection="1">
      <alignment horizontal="left" indent="2"/>
      <protection locked="0"/>
    </xf>
    <xf numFmtId="41" fontId="20" fillId="0" borderId="9" xfId="1" applyFont="1" applyBorder="1" applyAlignment="1" applyProtection="1">
      <alignment horizontal="center" vertical="center"/>
      <protection locked="0"/>
    </xf>
    <xf numFmtId="0" fontId="19" fillId="4" borderId="9" xfId="0" applyFont="1" applyFill="1" applyBorder="1" applyAlignment="1">
      <alignment horizontal="center" vertical="center"/>
    </xf>
    <xf numFmtId="9" fontId="6" fillId="0" borderId="9" xfId="2" applyFont="1" applyBorder="1" applyAlignment="1" applyProtection="1">
      <alignment horizontal="left" vertical="center" wrapText="1" indent="1"/>
      <protection locked="0"/>
    </xf>
    <xf numFmtId="0" fontId="19" fillId="0" borderId="9" xfId="0" applyFont="1" applyBorder="1" applyAlignment="1">
      <alignment horizontal="center" vertical="center"/>
    </xf>
    <xf numFmtId="0" fontId="16" fillId="0" borderId="0" xfId="0" applyFont="1" applyAlignment="1">
      <alignment horizontal="left" vertical="center" shrinkToFit="1"/>
    </xf>
    <xf numFmtId="0" fontId="21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left" vertical="center" wrapText="1"/>
      <protection locked="0"/>
    </xf>
    <xf numFmtId="177" fontId="17" fillId="0" borderId="0" xfId="1" applyNumberFormat="1" applyFont="1" applyAlignment="1">
      <alignment horizontal="center" vertical="center"/>
    </xf>
    <xf numFmtId="41" fontId="17" fillId="0" borderId="1" xfId="0" applyNumberFormat="1" applyFont="1" applyBorder="1" applyAlignment="1" applyProtection="1">
      <alignment vertical="top" shrinkToFit="1"/>
      <protection locked="0"/>
    </xf>
    <xf numFmtId="0" fontId="0" fillId="0" borderId="1" xfId="0" applyBorder="1" applyAlignment="1" applyProtection="1">
      <protection locked="0"/>
    </xf>
    <xf numFmtId="0" fontId="19" fillId="4" borderId="9" xfId="0" applyFont="1" applyFill="1" applyBorder="1" applyAlignment="1">
      <alignment horizontal="center" vertical="center" wrapText="1"/>
    </xf>
    <xf numFmtId="0" fontId="0" fillId="0" borderId="12" xfId="0" applyBorder="1" applyAlignment="1"/>
    <xf numFmtId="0" fontId="0" fillId="0" borderId="3" xfId="0" applyBorder="1" applyAlignment="1"/>
    <xf numFmtId="0" fontId="0" fillId="0" borderId="10" xfId="0" applyBorder="1" applyAlignment="1"/>
    <xf numFmtId="0" fontId="0" fillId="0" borderId="1" xfId="0" applyBorder="1" applyAlignment="1"/>
    <xf numFmtId="0" fontId="0" fillId="0" borderId="6" xfId="0" applyBorder="1" applyAlignment="1"/>
    <xf numFmtId="0" fontId="19" fillId="4" borderId="9" xfId="0" applyFont="1" applyFill="1" applyBorder="1">
      <alignment vertical="center"/>
    </xf>
    <xf numFmtId="0" fontId="9" fillId="0" borderId="8" xfId="0" applyFont="1" applyBorder="1" applyAlignment="1">
      <alignment horizontal="left" vertical="center"/>
    </xf>
    <xf numFmtId="0" fontId="6" fillId="0" borderId="9" xfId="0" applyFont="1" applyBorder="1" applyAlignment="1" applyProtection="1">
      <alignment horizontal="left" vertical="center" indent="1"/>
      <protection locked="0"/>
    </xf>
    <xf numFmtId="41" fontId="20" fillId="0" borderId="5" xfId="1" applyFont="1" applyBorder="1" applyAlignment="1" applyProtection="1">
      <alignment horizontal="center" vertical="center"/>
      <protection locked="0"/>
    </xf>
    <xf numFmtId="0" fontId="0" fillId="0" borderId="6" xfId="0" applyBorder="1" applyAlignment="1" applyProtection="1">
      <protection locked="0"/>
    </xf>
    <xf numFmtId="0" fontId="6" fillId="0" borderId="2" xfId="0" applyFont="1" applyBorder="1" applyAlignment="1">
      <alignment horizontal="distributed"/>
    </xf>
    <xf numFmtId="0" fontId="0" fillId="0" borderId="2" xfId="0" applyBorder="1" applyAlignment="1"/>
    <xf numFmtId="14" fontId="7" fillId="0" borderId="2" xfId="0" applyNumberFormat="1" applyFont="1" applyBorder="1" applyAlignment="1" applyProtection="1">
      <alignment horizontal="center"/>
      <protection locked="0"/>
    </xf>
    <xf numFmtId="0" fontId="6" fillId="0" borderId="9" xfId="0" applyFont="1" applyBorder="1" applyAlignment="1" applyProtection="1">
      <alignment horizontal="left" vertical="center" wrapText="1" indent="1"/>
      <protection locked="0"/>
    </xf>
    <xf numFmtId="0" fontId="19" fillId="0" borderId="9" xfId="0" applyFont="1" applyBorder="1" applyAlignment="1" applyProtection="1">
      <alignment horizontal="left" vertical="center" indent="1"/>
      <protection locked="0"/>
    </xf>
    <xf numFmtId="0" fontId="19" fillId="4" borderId="7" xfId="0" applyFont="1" applyFill="1" applyBorder="1" applyAlignment="1">
      <alignment horizontal="left" vertical="center"/>
    </xf>
    <xf numFmtId="0" fontId="21" fillId="0" borderId="0" xfId="0" applyFont="1" applyAlignment="1" applyProtection="1">
      <alignment horizontal="right" vertical="center"/>
      <protection locked="0"/>
    </xf>
    <xf numFmtId="0" fontId="5" fillId="0" borderId="0" xfId="3" applyAlignment="1" applyProtection="1">
      <alignment horizontal="left" indent="2"/>
      <protection locked="0"/>
    </xf>
    <xf numFmtId="0" fontId="0" fillId="0" borderId="16" xfId="0" applyBorder="1" applyProtection="1">
      <alignment vertical="center"/>
      <protection locked="0"/>
    </xf>
    <xf numFmtId="0" fontId="0" fillId="0" borderId="15" xfId="0" applyBorder="1" applyAlignment="1" applyProtection="1">
      <protection locked="0"/>
    </xf>
    <xf numFmtId="0" fontId="0" fillId="0" borderId="16" xfId="0" applyBorder="1" applyAlignment="1" applyProtection="1">
      <protection locked="0"/>
    </xf>
    <xf numFmtId="0" fontId="0" fillId="0" borderId="0" xfId="0">
      <alignment vertical="center"/>
    </xf>
    <xf numFmtId="0" fontId="6" fillId="0" borderId="5" xfId="0" applyFont="1" applyBorder="1" applyAlignment="1" applyProtection="1">
      <alignment horizontal="left" vertical="center" wrapText="1" indent="1"/>
      <protection locked="0"/>
    </xf>
    <xf numFmtId="0" fontId="9" fillId="0" borderId="9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center"/>
    </xf>
    <xf numFmtId="0" fontId="6" fillId="0" borderId="0" xfId="0" applyFont="1" applyAlignment="1" applyProtection="1">
      <alignment horizontal="center" vertical="center"/>
      <protection locked="0"/>
    </xf>
    <xf numFmtId="0" fontId="16" fillId="0" borderId="1" xfId="0" applyFont="1" applyBorder="1" applyAlignment="1" applyProtection="1">
      <alignment horizontal="right" vertical="top" shrinkToFit="1"/>
      <protection locked="0"/>
    </xf>
    <xf numFmtId="0" fontId="9" fillId="0" borderId="9" xfId="0" applyFont="1" applyBorder="1" applyAlignment="1">
      <alignment horizontal="center" vertical="center"/>
    </xf>
    <xf numFmtId="0" fontId="9" fillId="0" borderId="7" xfId="0" applyFont="1" applyBorder="1" applyAlignment="1">
      <alignment horizontal="left" vertical="center" indent="1"/>
    </xf>
    <xf numFmtId="0" fontId="21" fillId="0" borderId="5" xfId="0" applyFont="1" applyBorder="1" applyAlignment="1" applyProtection="1">
      <alignment vertical="center" wrapText="1"/>
      <protection locked="0"/>
    </xf>
    <xf numFmtId="0" fontId="0" fillId="0" borderId="13" xfId="0" applyBorder="1" applyAlignment="1" applyProtection="1">
      <protection locked="0"/>
    </xf>
    <xf numFmtId="0" fontId="0" fillId="0" borderId="10" xfId="0" applyBorder="1" applyAlignment="1" applyProtection="1">
      <protection locked="0"/>
    </xf>
    <xf numFmtId="0" fontId="13" fillId="0" borderId="19" xfId="0" applyFont="1" applyBorder="1" applyAlignment="1" applyProtection="1">
      <alignment horizontal="center" vertical="center" shrinkToFit="1"/>
      <protection locked="0"/>
    </xf>
    <xf numFmtId="41" fontId="19" fillId="0" borderId="9" xfId="1" applyFont="1" applyBorder="1" applyAlignment="1">
      <alignment horizontal="center" vertical="center"/>
    </xf>
    <xf numFmtId="0" fontId="13" fillId="0" borderId="0" xfId="0" applyFont="1" applyAlignment="1">
      <alignment horizontal="distributed" vertical="center"/>
    </xf>
    <xf numFmtId="0" fontId="21" fillId="0" borderId="9" xfId="0" applyFont="1" applyBorder="1" applyAlignment="1">
      <alignment horizontal="center" vertical="center" wrapText="1"/>
    </xf>
    <xf numFmtId="0" fontId="0" fillId="0" borderId="17" xfId="0" applyBorder="1" applyAlignment="1"/>
    <xf numFmtId="0" fontId="0" fillId="0" borderId="13" xfId="0" applyBorder="1" applyAlignment="1"/>
    <xf numFmtId="0" fontId="0" fillId="0" borderId="14" xfId="0" applyBorder="1" applyProtection="1">
      <alignment vertical="center"/>
      <protection locked="0"/>
    </xf>
    <xf numFmtId="0" fontId="3" fillId="2" borderId="0" xfId="0" applyFont="1" applyFill="1" applyAlignment="1">
      <alignment horizontal="center" vertical="center"/>
    </xf>
    <xf numFmtId="0" fontId="19" fillId="4" borderId="9" xfId="0" applyFont="1" applyFill="1" applyBorder="1" applyAlignment="1">
      <alignment horizontal="left" vertical="center" shrinkToFit="1"/>
    </xf>
  </cellXfs>
  <cellStyles count="4">
    <cellStyle name="백분율" xfId="2" builtinId="5"/>
    <cellStyle name="쉼표 [0]" xfId="1" builtinId="6"/>
    <cellStyle name="표준" xfId="0" builtinId="0"/>
    <cellStyle name="하이퍼링크" xfId="3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43</xdr:row>
      <xdr:rowOff>0</xdr:rowOff>
    </xdr:from>
    <xdr:to>
      <xdr:col>5</xdr:col>
      <xdr:colOff>0</xdr:colOff>
      <xdr:row>45</xdr:row>
      <xdr:rowOff>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7760" y="7208520"/>
          <a:ext cx="4511040" cy="33528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15</xdr:col>
      <xdr:colOff>0</xdr:colOff>
      <xdr:row>43</xdr:row>
      <xdr:rowOff>0</xdr:rowOff>
    </xdr:from>
    <xdr:to>
      <xdr:col>17</xdr:col>
      <xdr:colOff>0</xdr:colOff>
      <xdr:row>45</xdr:row>
      <xdr:rowOff>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16400" y="7208520"/>
          <a:ext cx="2255520" cy="335280"/>
        </a:xfrm>
        <a:prstGeom prst="rect">
          <a:avLst/>
        </a:prstGeom>
        <a:ln>
          <a:prstDash val="solid"/>
        </a:ln>
      </xdr:spPr>
    </xdr:pic>
    <xdr:clientData/>
  </xdr:twoCellAnchor>
  <xdr:oneCellAnchor>
    <xdr:from>
      <xdr:col>13</xdr:col>
      <xdr:colOff>136300</xdr:colOff>
      <xdr:row>2</xdr:row>
      <xdr:rowOff>78266</xdr:rowOff>
    </xdr:from>
    <xdr:ext cx="1413553" cy="220395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4796227" y="413546"/>
          <a:ext cx="1413553" cy="220395"/>
        </a:xfrm>
        <a:prstGeom prst="rect">
          <a:avLst/>
        </a:prstGeom>
        <a:ln>
          <a:noFill/>
          <a:prstDash val="solid"/>
        </a:ln>
      </xdr:spPr>
    </xdr:pic>
    <xdr:clientData/>
  </xdr:oneCellAnchor>
  <xdr:oneCellAnchor>
    <xdr:from>
      <xdr:col>16</xdr:col>
      <xdr:colOff>573033</xdr:colOff>
      <xdr:row>3</xdr:row>
      <xdr:rowOff>38100</xdr:rowOff>
    </xdr:from>
    <xdr:ext cx="851553" cy="733424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2776" b="14883"/>
        <a:stretch>
          <a:fillRect/>
        </a:stretch>
      </xdr:blipFill>
      <xdr:spPr>
        <a:xfrm>
          <a:off x="18617193" y="541020"/>
          <a:ext cx="851553" cy="733424"/>
        </a:xfrm>
        <a:prstGeom prst="ellipse">
          <a:avLst/>
        </a:prstGeom>
        <a:noFill/>
        <a:ln>
          <a:noFill/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47"/>
  <sheetViews>
    <sheetView showGridLines="0" tabSelected="1" view="pageBreakPreview" zoomScaleNormal="100" zoomScaleSheetLayoutView="100" workbookViewId="0">
      <selection activeCell="L17" sqref="L17"/>
    </sheetView>
  </sheetViews>
  <sheetFormatPr defaultColWidth="18.15234375" defaultRowHeight="22.5" customHeight="1" x14ac:dyDescent="0.45"/>
  <cols>
    <col min="1" max="1" width="1.3828125" style="7" customWidth="1" collapsed="1"/>
    <col min="2" max="2" width="2" style="7" customWidth="1" collapsed="1"/>
    <col min="3" max="3" width="5.3828125" style="7" customWidth="1" collapsed="1"/>
    <col min="4" max="4" width="8.53515625" style="7" customWidth="1" collapsed="1"/>
    <col min="5" max="5" width="12.69140625" style="7" customWidth="1" collapsed="1"/>
    <col min="6" max="6" width="11.84375" style="7" customWidth="1" collapsed="1"/>
    <col min="7" max="7" width="9" style="7" customWidth="1" collapsed="1"/>
    <col min="8" max="9" width="9.15234375" style="7" customWidth="1" collapsed="1"/>
    <col min="10" max="10" width="10.69140625" style="7" customWidth="1" collapsed="1"/>
    <col min="11" max="11" width="8.53515625" style="7" customWidth="1" collapsed="1"/>
    <col min="12" max="12" width="6.84375" style="7" customWidth="1" collapsed="1"/>
    <col min="13" max="13" width="11" style="7" customWidth="1" collapsed="1"/>
    <col min="14" max="14" width="7.15234375" style="7" customWidth="1" collapsed="1"/>
    <col min="15" max="15" width="9.69140625" style="7" customWidth="1" collapsed="1"/>
    <col min="16" max="16" width="9.3828125" style="7" customWidth="1" collapsed="1"/>
    <col min="17" max="17" width="21.69140625" style="7" customWidth="1" collapsed="1"/>
    <col min="18" max="18" width="1.69140625" style="7" customWidth="1" collapsed="1"/>
    <col min="19" max="19" width="2.3046875" style="7" customWidth="1" collapsed="1"/>
    <col min="20" max="22" width="13.69140625" style="7" customWidth="1" collapsed="1"/>
    <col min="23" max="23" width="13.53515625" style="7" customWidth="1" collapsed="1"/>
    <col min="24" max="24" width="17" style="7" customWidth="1" collapsed="1"/>
    <col min="25" max="25" width="5.69140625" style="7" customWidth="1" collapsed="1"/>
    <col min="26" max="26" width="6.3046875" style="7" customWidth="1" collapsed="1"/>
    <col min="27" max="27" width="18.15234375" customWidth="1"/>
    <col min="28" max="28" width="18.15234375" style="7" customWidth="1" collapsed="1"/>
    <col min="29" max="16384" width="18.15234375" style="7" collapsed="1"/>
  </cols>
  <sheetData>
    <row r="1" spans="2:27" ht="49.5" customHeight="1" x14ac:dyDescent="0.45">
      <c r="B1" s="150" t="s">
        <v>0</v>
      </c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</row>
    <row r="2" spans="2:27" ht="21" customHeight="1" x14ac:dyDescent="0.45">
      <c r="B2" s="1"/>
      <c r="C2" s="2"/>
      <c r="D2" s="1"/>
      <c r="E2" s="1"/>
      <c r="F2" s="1"/>
      <c r="G2" s="1"/>
      <c r="H2" s="1"/>
      <c r="I2" s="1"/>
      <c r="J2" s="1"/>
      <c r="K2" s="1"/>
      <c r="L2" s="1"/>
      <c r="M2" s="3"/>
      <c r="N2" s="3"/>
      <c r="O2" s="3"/>
      <c r="P2" s="3"/>
      <c r="Q2" s="3"/>
    </row>
    <row r="3" spans="2:27" ht="15" customHeight="1" x14ac:dyDescent="0.6">
      <c r="B3" s="4"/>
      <c r="C3" s="121" t="s">
        <v>1</v>
      </c>
      <c r="D3" s="122"/>
      <c r="E3" s="123">
        <v>45887</v>
      </c>
      <c r="F3" s="84"/>
      <c r="G3" s="5"/>
      <c r="I3" s="6"/>
      <c r="L3" s="94" t="s">
        <v>2</v>
      </c>
      <c r="M3" s="138" t="s">
        <v>3</v>
      </c>
      <c r="N3" s="72"/>
      <c r="O3" s="72"/>
      <c r="P3" s="72"/>
      <c r="Q3" s="117" t="s">
        <v>4</v>
      </c>
    </row>
    <row r="4" spans="2:27" ht="13.5" customHeight="1" x14ac:dyDescent="0.45">
      <c r="C4" s="82" t="s">
        <v>5</v>
      </c>
      <c r="D4" s="83"/>
      <c r="E4" s="83"/>
      <c r="F4" s="83"/>
      <c r="L4" s="95"/>
      <c r="M4" s="96"/>
      <c r="N4" s="71"/>
      <c r="O4" s="71"/>
      <c r="P4" s="71"/>
      <c r="Q4" s="115"/>
    </row>
    <row r="5" spans="2:27" ht="18" customHeight="1" x14ac:dyDescent="0.85">
      <c r="B5" s="8"/>
      <c r="C5" s="84"/>
      <c r="D5" s="84"/>
      <c r="E5" s="84"/>
      <c r="F5" s="84"/>
      <c r="G5" s="9" t="s">
        <v>6</v>
      </c>
      <c r="H5" s="10"/>
      <c r="I5" s="10"/>
      <c r="J5" s="10"/>
      <c r="L5" s="95"/>
      <c r="M5" s="59" t="s">
        <v>7</v>
      </c>
      <c r="N5" s="98" t="s">
        <v>8</v>
      </c>
      <c r="O5" s="86"/>
      <c r="P5" s="11" t="s">
        <v>9</v>
      </c>
      <c r="Q5" s="12" t="s">
        <v>10</v>
      </c>
      <c r="U5" s="45"/>
    </row>
    <row r="6" spans="2:27" ht="31.5" customHeight="1" x14ac:dyDescent="0.6">
      <c r="B6" s="13"/>
      <c r="C6" s="77" t="s">
        <v>11</v>
      </c>
      <c r="D6" s="76"/>
      <c r="E6" s="99"/>
      <c r="F6" s="83"/>
      <c r="G6" s="83"/>
      <c r="H6" s="14"/>
      <c r="I6" s="9"/>
      <c r="J6" s="15"/>
      <c r="L6" s="95"/>
      <c r="M6" s="59" t="s">
        <v>12</v>
      </c>
      <c r="N6" s="134" t="s">
        <v>13</v>
      </c>
      <c r="O6" s="89"/>
      <c r="P6" s="89"/>
      <c r="Q6" s="86"/>
      <c r="R6" s="16"/>
      <c r="S6" s="16"/>
      <c r="V6" s="45"/>
    </row>
    <row r="7" spans="2:27" ht="21.75" customHeight="1" x14ac:dyDescent="0.6">
      <c r="B7" s="13"/>
      <c r="C7" s="77" t="s">
        <v>14</v>
      </c>
      <c r="D7" s="76"/>
      <c r="E7" s="99"/>
      <c r="F7" s="83"/>
      <c r="G7" s="83"/>
      <c r="H7" s="17"/>
      <c r="I7" s="18"/>
      <c r="J7" s="19"/>
      <c r="K7" s="19"/>
      <c r="L7" s="95"/>
      <c r="M7" s="59" t="s">
        <v>15</v>
      </c>
      <c r="N7" s="98" t="s">
        <v>16</v>
      </c>
      <c r="O7" s="86"/>
      <c r="P7" s="20" t="s">
        <v>17</v>
      </c>
      <c r="Q7" s="21" t="s">
        <v>18</v>
      </c>
      <c r="R7" s="16"/>
      <c r="S7" s="16"/>
      <c r="U7" s="65"/>
      <c r="V7" s="65"/>
      <c r="W7" s="65"/>
    </row>
    <row r="8" spans="2:27" ht="21.75" customHeight="1" x14ac:dyDescent="0.55000000000000004">
      <c r="B8" s="13"/>
      <c r="C8" s="77" t="s">
        <v>19</v>
      </c>
      <c r="D8" s="76"/>
      <c r="E8" s="128"/>
      <c r="F8" s="83"/>
      <c r="G8" s="83"/>
      <c r="H8" s="22"/>
      <c r="I8" s="18"/>
      <c r="J8" s="19"/>
      <c r="K8" s="19"/>
      <c r="L8" s="96"/>
      <c r="M8" s="59" t="s">
        <v>20</v>
      </c>
      <c r="N8" s="139" t="s">
        <v>21</v>
      </c>
      <c r="O8" s="89"/>
      <c r="P8" s="23" t="s">
        <v>22</v>
      </c>
      <c r="Q8" s="24" t="s">
        <v>23</v>
      </c>
      <c r="R8" s="16"/>
      <c r="S8" s="16"/>
      <c r="U8" s="50"/>
      <c r="V8" s="67"/>
    </row>
    <row r="9" spans="2:27" ht="4.5" customHeight="1" x14ac:dyDescent="0.6">
      <c r="B9" s="13"/>
      <c r="C9" s="13"/>
      <c r="D9" s="60"/>
      <c r="E9" s="25"/>
      <c r="F9" s="25"/>
      <c r="G9" s="25"/>
      <c r="H9" s="22"/>
      <c r="I9" s="18"/>
      <c r="J9" s="19"/>
      <c r="K9" s="19"/>
      <c r="L9" s="26"/>
      <c r="M9" s="27"/>
      <c r="N9" s="28"/>
      <c r="O9" s="28"/>
      <c r="P9" s="29"/>
      <c r="Q9" s="30"/>
      <c r="R9" s="16"/>
      <c r="S9" s="16"/>
    </row>
    <row r="10" spans="2:27" ht="24.75" customHeight="1" x14ac:dyDescent="0.55000000000000004">
      <c r="B10" s="31"/>
      <c r="C10" s="145" t="s">
        <v>24</v>
      </c>
      <c r="D10" s="76"/>
      <c r="E10" s="107">
        <f>O26</f>
        <v>726000</v>
      </c>
      <c r="F10" s="76"/>
      <c r="G10" s="76"/>
      <c r="H10" s="76"/>
      <c r="I10" s="104" t="s">
        <v>25</v>
      </c>
      <c r="J10" s="76"/>
      <c r="K10" s="76"/>
      <c r="L10" s="73" t="s">
        <v>26</v>
      </c>
      <c r="M10" s="92" t="s">
        <v>27</v>
      </c>
      <c r="N10" s="93"/>
      <c r="O10" s="143" t="s">
        <v>28</v>
      </c>
      <c r="P10" s="93"/>
      <c r="Q10" s="74" t="s">
        <v>29</v>
      </c>
      <c r="R10" s="19"/>
      <c r="S10" s="16"/>
      <c r="U10" s="68"/>
    </row>
    <row r="11" spans="2:27" ht="20.25" customHeight="1" x14ac:dyDescent="0.45">
      <c r="C11" s="32" t="s">
        <v>30</v>
      </c>
      <c r="E11" s="32"/>
      <c r="F11" s="22"/>
      <c r="G11" s="22"/>
      <c r="H11" s="22"/>
      <c r="I11" s="33"/>
      <c r="J11" s="33"/>
      <c r="K11" s="33"/>
      <c r="M11" s="137"/>
      <c r="N11" s="109"/>
      <c r="O11" s="108"/>
      <c r="P11" s="109"/>
      <c r="Q11" s="34"/>
      <c r="R11" s="16"/>
      <c r="S11" s="16"/>
      <c r="T11" s="35" t="s">
        <v>31</v>
      </c>
    </row>
    <row r="12" spans="2:27" ht="22.5" customHeight="1" x14ac:dyDescent="0.45">
      <c r="B12" s="91" t="s">
        <v>32</v>
      </c>
      <c r="C12" s="89"/>
      <c r="D12" s="89"/>
      <c r="E12" s="89"/>
      <c r="F12" s="89"/>
      <c r="G12" s="89"/>
      <c r="H12" s="89"/>
      <c r="I12" s="89"/>
      <c r="J12" s="89"/>
      <c r="K12" s="89"/>
      <c r="L12" s="89"/>
      <c r="M12" s="89"/>
      <c r="N12" s="89"/>
      <c r="O12" s="89"/>
      <c r="P12" s="89"/>
      <c r="Q12" s="86"/>
      <c r="T12" s="35" t="s">
        <v>33</v>
      </c>
    </row>
    <row r="13" spans="2:27" ht="22.5" customHeight="1" x14ac:dyDescent="0.45">
      <c r="B13" s="101" t="s">
        <v>34</v>
      </c>
      <c r="C13" s="86"/>
      <c r="D13" s="101" t="s">
        <v>35</v>
      </c>
      <c r="E13" s="89"/>
      <c r="F13" s="89"/>
      <c r="G13" s="89"/>
      <c r="H13" s="89"/>
      <c r="I13" s="89"/>
      <c r="J13" s="89"/>
      <c r="K13" s="86"/>
      <c r="L13" s="36" t="s">
        <v>36</v>
      </c>
      <c r="M13" s="101" t="s">
        <v>37</v>
      </c>
      <c r="N13" s="86"/>
      <c r="O13" s="101" t="s">
        <v>38</v>
      </c>
      <c r="P13" s="86"/>
      <c r="Q13" s="36" t="s">
        <v>39</v>
      </c>
      <c r="T13" s="36" t="s">
        <v>40</v>
      </c>
      <c r="U13" s="61" t="s">
        <v>41</v>
      </c>
      <c r="V13" s="62" t="s">
        <v>42</v>
      </c>
      <c r="W13" s="37" t="s">
        <v>43</v>
      </c>
      <c r="X13" s="61" t="s">
        <v>44</v>
      </c>
    </row>
    <row r="14" spans="2:27" ht="33" customHeight="1" x14ac:dyDescent="0.45">
      <c r="B14" s="85">
        <v>1</v>
      </c>
      <c r="C14" s="86"/>
      <c r="D14" s="124" t="s">
        <v>45</v>
      </c>
      <c r="E14" s="79"/>
      <c r="F14" s="79"/>
      <c r="G14" s="79"/>
      <c r="H14" s="79"/>
      <c r="I14" s="79"/>
      <c r="J14" s="79"/>
      <c r="K14" s="80"/>
      <c r="L14" s="38">
        <v>1</v>
      </c>
      <c r="M14" s="100">
        <v>660000</v>
      </c>
      <c r="N14" s="80"/>
      <c r="O14" s="87">
        <f t="shared" ref="O14:O23" si="0">M14*L14</f>
        <v>660000</v>
      </c>
      <c r="P14" s="86"/>
      <c r="Q14" s="64"/>
      <c r="T14" s="39">
        <v>636342</v>
      </c>
      <c r="U14" s="39">
        <f>T14*L14</f>
        <v>636342</v>
      </c>
      <c r="V14" s="41">
        <f t="shared" ref="V14:V23" si="1">O14-U14</f>
        <v>23658</v>
      </c>
      <c r="W14" s="42">
        <f t="shared" ref="W14:W24" si="2">V14/O14</f>
        <v>3.5845454545454548E-2</v>
      </c>
      <c r="X14" s="66"/>
      <c r="Y14" s="44"/>
      <c r="AA14" s="45"/>
    </row>
    <row r="15" spans="2:27" ht="33" customHeight="1" x14ac:dyDescent="0.45">
      <c r="B15" s="85">
        <v>2</v>
      </c>
      <c r="C15" s="86"/>
      <c r="D15" s="124"/>
      <c r="E15" s="79"/>
      <c r="F15" s="79"/>
      <c r="G15" s="79"/>
      <c r="H15" s="79"/>
      <c r="I15" s="79"/>
      <c r="J15" s="79"/>
      <c r="K15" s="80"/>
      <c r="L15" s="38"/>
      <c r="M15" s="100"/>
      <c r="N15" s="80"/>
      <c r="O15" s="87">
        <f t="shared" si="0"/>
        <v>0</v>
      </c>
      <c r="P15" s="86"/>
      <c r="Q15" s="64"/>
      <c r="T15" s="39"/>
      <c r="U15" s="40">
        <f t="shared" ref="U15:U23" si="3">L15*T15</f>
        <v>0</v>
      </c>
      <c r="V15" s="41">
        <f t="shared" si="1"/>
        <v>0</v>
      </c>
      <c r="W15" s="42" t="e">
        <f t="shared" si="2"/>
        <v>#DIV/0!</v>
      </c>
      <c r="X15" s="66"/>
      <c r="Y15" s="44"/>
      <c r="AA15" s="45"/>
    </row>
    <row r="16" spans="2:27" ht="33" customHeight="1" x14ac:dyDescent="0.45">
      <c r="B16" s="85">
        <v>3</v>
      </c>
      <c r="C16" s="86"/>
      <c r="D16" s="124"/>
      <c r="E16" s="79"/>
      <c r="F16" s="79"/>
      <c r="G16" s="79"/>
      <c r="H16" s="79"/>
      <c r="I16" s="79"/>
      <c r="J16" s="79"/>
      <c r="K16" s="80"/>
      <c r="L16" s="38"/>
      <c r="M16" s="100"/>
      <c r="N16" s="80"/>
      <c r="O16" s="87">
        <f t="shared" si="0"/>
        <v>0</v>
      </c>
      <c r="P16" s="86"/>
      <c r="Q16" s="64"/>
      <c r="T16" s="39"/>
      <c r="U16" s="40">
        <f t="shared" si="3"/>
        <v>0</v>
      </c>
      <c r="V16" s="41">
        <f t="shared" si="1"/>
        <v>0</v>
      </c>
      <c r="W16" s="42" t="e">
        <f t="shared" si="2"/>
        <v>#DIV/0!</v>
      </c>
      <c r="X16" s="43"/>
      <c r="Y16" s="44"/>
      <c r="AA16" s="45"/>
    </row>
    <row r="17" spans="2:25" ht="33" customHeight="1" x14ac:dyDescent="0.45">
      <c r="B17" s="85">
        <v>4</v>
      </c>
      <c r="C17" s="86"/>
      <c r="D17" s="102"/>
      <c r="E17" s="79"/>
      <c r="F17" s="79"/>
      <c r="G17" s="79"/>
      <c r="H17" s="79"/>
      <c r="I17" s="79"/>
      <c r="J17" s="79"/>
      <c r="K17" s="80"/>
      <c r="L17" s="38"/>
      <c r="M17" s="100"/>
      <c r="N17" s="80"/>
      <c r="O17" s="87">
        <f t="shared" si="0"/>
        <v>0</v>
      </c>
      <c r="P17" s="86"/>
      <c r="Q17" s="64"/>
      <c r="T17" s="39"/>
      <c r="U17" s="40">
        <f t="shared" si="3"/>
        <v>0</v>
      </c>
      <c r="V17" s="41">
        <f t="shared" si="1"/>
        <v>0</v>
      </c>
      <c r="W17" s="42" t="e">
        <f t="shared" si="2"/>
        <v>#DIV/0!</v>
      </c>
      <c r="X17" s="43"/>
      <c r="Y17" s="44"/>
    </row>
    <row r="18" spans="2:25" ht="33" customHeight="1" x14ac:dyDescent="0.45">
      <c r="B18" s="85">
        <v>5</v>
      </c>
      <c r="C18" s="86"/>
      <c r="D18" s="124"/>
      <c r="E18" s="79"/>
      <c r="F18" s="79"/>
      <c r="G18" s="79"/>
      <c r="H18" s="79"/>
      <c r="I18" s="79"/>
      <c r="J18" s="79"/>
      <c r="K18" s="80"/>
      <c r="L18" s="38"/>
      <c r="M18" s="100"/>
      <c r="N18" s="80"/>
      <c r="O18" s="87">
        <f t="shared" si="0"/>
        <v>0</v>
      </c>
      <c r="P18" s="86"/>
      <c r="Q18" s="70"/>
      <c r="T18" s="39"/>
      <c r="U18" s="40">
        <f t="shared" si="3"/>
        <v>0</v>
      </c>
      <c r="V18" s="41">
        <f t="shared" si="1"/>
        <v>0</v>
      </c>
      <c r="W18" s="42" t="e">
        <f t="shared" si="2"/>
        <v>#DIV/0!</v>
      </c>
      <c r="X18" s="43"/>
      <c r="Y18" s="44"/>
    </row>
    <row r="19" spans="2:25" ht="33" customHeight="1" x14ac:dyDescent="0.45">
      <c r="B19" s="85">
        <v>6</v>
      </c>
      <c r="C19" s="86"/>
      <c r="D19" s="133"/>
      <c r="E19" s="109"/>
      <c r="F19" s="109"/>
      <c r="G19" s="109"/>
      <c r="H19" s="109"/>
      <c r="I19" s="109"/>
      <c r="J19" s="109"/>
      <c r="K19" s="120"/>
      <c r="L19" s="69"/>
      <c r="M19" s="119"/>
      <c r="N19" s="120"/>
      <c r="O19" s="87">
        <f t="shared" si="0"/>
        <v>0</v>
      </c>
      <c r="P19" s="86"/>
      <c r="Q19" s="64"/>
      <c r="T19" s="39"/>
      <c r="U19" s="40">
        <f t="shared" si="3"/>
        <v>0</v>
      </c>
      <c r="V19" s="41">
        <f t="shared" si="1"/>
        <v>0</v>
      </c>
      <c r="W19" s="42" t="e">
        <f t="shared" si="2"/>
        <v>#DIV/0!</v>
      </c>
      <c r="X19" s="43"/>
      <c r="Y19" s="44"/>
    </row>
    <row r="20" spans="2:25" ht="33" customHeight="1" x14ac:dyDescent="0.45">
      <c r="B20" s="85">
        <v>7</v>
      </c>
      <c r="C20" s="86"/>
      <c r="D20" s="124"/>
      <c r="E20" s="79"/>
      <c r="F20" s="79"/>
      <c r="G20" s="79"/>
      <c r="H20" s="79"/>
      <c r="I20" s="79"/>
      <c r="J20" s="79"/>
      <c r="K20" s="80"/>
      <c r="L20" s="38"/>
      <c r="M20" s="100"/>
      <c r="N20" s="80"/>
      <c r="O20" s="87">
        <f t="shared" si="0"/>
        <v>0</v>
      </c>
      <c r="P20" s="86"/>
      <c r="Q20" s="64"/>
      <c r="T20" s="39"/>
      <c r="U20" s="40">
        <f t="shared" si="3"/>
        <v>0</v>
      </c>
      <c r="V20" s="41">
        <f t="shared" si="1"/>
        <v>0</v>
      </c>
      <c r="W20" s="42" t="e">
        <f t="shared" si="2"/>
        <v>#DIV/0!</v>
      </c>
      <c r="X20" s="43"/>
      <c r="Y20" s="44"/>
    </row>
    <row r="21" spans="2:25" ht="33" customHeight="1" x14ac:dyDescent="0.45">
      <c r="B21" s="85">
        <v>8</v>
      </c>
      <c r="C21" s="86"/>
      <c r="D21" s="124"/>
      <c r="E21" s="79"/>
      <c r="F21" s="79"/>
      <c r="G21" s="79"/>
      <c r="H21" s="79"/>
      <c r="I21" s="79"/>
      <c r="J21" s="79"/>
      <c r="K21" s="80"/>
      <c r="L21" s="38"/>
      <c r="M21" s="100"/>
      <c r="N21" s="80"/>
      <c r="O21" s="87">
        <f t="shared" si="0"/>
        <v>0</v>
      </c>
      <c r="P21" s="86"/>
      <c r="Q21" s="46"/>
      <c r="T21" s="39"/>
      <c r="U21" s="40">
        <f t="shared" si="3"/>
        <v>0</v>
      </c>
      <c r="V21" s="41">
        <f t="shared" si="1"/>
        <v>0</v>
      </c>
      <c r="W21" s="42" t="e">
        <f t="shared" si="2"/>
        <v>#DIV/0!</v>
      </c>
      <c r="X21" s="43"/>
      <c r="Y21" s="44"/>
    </row>
    <row r="22" spans="2:25" ht="33" customHeight="1" x14ac:dyDescent="0.45">
      <c r="B22" s="85">
        <v>9</v>
      </c>
      <c r="C22" s="86"/>
      <c r="D22" s="124"/>
      <c r="E22" s="79"/>
      <c r="F22" s="79"/>
      <c r="G22" s="79"/>
      <c r="H22" s="79"/>
      <c r="I22" s="79"/>
      <c r="J22" s="79"/>
      <c r="K22" s="80"/>
      <c r="L22" s="38"/>
      <c r="M22" s="100"/>
      <c r="N22" s="80"/>
      <c r="O22" s="87">
        <f t="shared" si="0"/>
        <v>0</v>
      </c>
      <c r="P22" s="86"/>
      <c r="Q22" s="46"/>
      <c r="T22" s="39"/>
      <c r="U22" s="40">
        <f t="shared" si="3"/>
        <v>0</v>
      </c>
      <c r="V22" s="41">
        <f t="shared" si="1"/>
        <v>0</v>
      </c>
      <c r="W22" s="42" t="e">
        <f t="shared" si="2"/>
        <v>#DIV/0!</v>
      </c>
      <c r="X22" s="47"/>
      <c r="Y22" s="44"/>
    </row>
    <row r="23" spans="2:25" ht="33" customHeight="1" x14ac:dyDescent="0.45">
      <c r="B23" s="85">
        <v>10</v>
      </c>
      <c r="C23" s="86"/>
      <c r="D23" s="124"/>
      <c r="E23" s="79"/>
      <c r="F23" s="79"/>
      <c r="G23" s="79"/>
      <c r="H23" s="79"/>
      <c r="I23" s="79"/>
      <c r="J23" s="79"/>
      <c r="K23" s="80"/>
      <c r="L23" s="38"/>
      <c r="M23" s="100"/>
      <c r="N23" s="80"/>
      <c r="O23" s="87">
        <f t="shared" si="0"/>
        <v>0</v>
      </c>
      <c r="P23" s="86"/>
      <c r="Q23" s="46"/>
      <c r="T23" s="39"/>
      <c r="U23" s="40">
        <f t="shared" si="3"/>
        <v>0</v>
      </c>
      <c r="V23" s="41">
        <f t="shared" si="1"/>
        <v>0</v>
      </c>
      <c r="W23" s="42" t="e">
        <f t="shared" si="2"/>
        <v>#DIV/0!</v>
      </c>
      <c r="X23" s="47"/>
      <c r="Y23" s="44"/>
    </row>
    <row r="24" spans="2:25" ht="21" customHeight="1" x14ac:dyDescent="0.45">
      <c r="B24" s="146" t="s">
        <v>46</v>
      </c>
      <c r="C24" s="112"/>
      <c r="D24" s="149" t="s">
        <v>47</v>
      </c>
      <c r="E24" s="130"/>
      <c r="F24" s="130"/>
      <c r="G24" s="130"/>
      <c r="H24" s="130"/>
      <c r="I24" s="129" t="s">
        <v>48</v>
      </c>
      <c r="J24" s="130"/>
      <c r="K24" s="130"/>
      <c r="L24" s="131"/>
      <c r="M24" s="103" t="s">
        <v>49</v>
      </c>
      <c r="N24" s="86"/>
      <c r="O24" s="144">
        <f>SUM(O14:P23)</f>
        <v>660000</v>
      </c>
      <c r="P24" s="86"/>
      <c r="Q24" s="48"/>
      <c r="T24" s="39">
        <f>SUM(T14:T23)</f>
        <v>636342</v>
      </c>
      <c r="U24" s="39">
        <f>SUM(U14:U23)</f>
        <v>636342</v>
      </c>
      <c r="V24" s="39">
        <f>SUM(V14:V23)</f>
        <v>23658</v>
      </c>
      <c r="W24" s="42">
        <f t="shared" si="2"/>
        <v>3.5845454545454548E-2</v>
      </c>
      <c r="X24" s="43"/>
      <c r="Y24" s="44"/>
    </row>
    <row r="25" spans="2:25" ht="21" customHeight="1" x14ac:dyDescent="0.45">
      <c r="B25" s="147"/>
      <c r="C25" s="148"/>
      <c r="D25" s="140" t="s">
        <v>50</v>
      </c>
      <c r="E25" s="83"/>
      <c r="F25" s="83"/>
      <c r="G25" s="83"/>
      <c r="H25" s="83"/>
      <c r="I25" s="83"/>
      <c r="J25" s="83"/>
      <c r="K25" s="83"/>
      <c r="L25" s="141"/>
      <c r="M25" s="103" t="s">
        <v>51</v>
      </c>
      <c r="N25" s="86"/>
      <c r="O25" s="97">
        <f>O24*0.1</f>
        <v>66000</v>
      </c>
      <c r="P25" s="86"/>
      <c r="Q25" s="48"/>
      <c r="Y25" s="44"/>
    </row>
    <row r="26" spans="2:25" ht="21" customHeight="1" x14ac:dyDescent="0.45">
      <c r="B26" s="113"/>
      <c r="C26" s="115"/>
      <c r="D26" s="142"/>
      <c r="E26" s="109"/>
      <c r="F26" s="109"/>
      <c r="G26" s="109"/>
      <c r="H26" s="109"/>
      <c r="I26" s="109"/>
      <c r="J26" s="109"/>
      <c r="K26" s="109"/>
      <c r="L26" s="120"/>
      <c r="M26" s="103" t="s">
        <v>52</v>
      </c>
      <c r="N26" s="86"/>
      <c r="O26" s="97">
        <f>SUM(O24:P25)</f>
        <v>726000</v>
      </c>
      <c r="P26" s="86"/>
      <c r="Q26" s="48"/>
      <c r="W26" s="45"/>
      <c r="X26" s="49"/>
    </row>
    <row r="27" spans="2:25" ht="6.75" customHeight="1" x14ac:dyDescent="0.45"/>
    <row r="28" spans="2:25" ht="6.75" customHeight="1" x14ac:dyDescent="0.45">
      <c r="B28" s="132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</row>
    <row r="29" spans="2:25" ht="13.5" customHeight="1" x14ac:dyDescent="0.45"/>
    <row r="30" spans="2:25" ht="12.75" customHeight="1" x14ac:dyDescent="0.45">
      <c r="B30" s="135" t="s">
        <v>53</v>
      </c>
      <c r="C30" s="76"/>
      <c r="D30" s="76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</row>
    <row r="31" spans="2:25" ht="6.75" customHeight="1" x14ac:dyDescent="0.45"/>
    <row r="32" spans="2:25" ht="22.5" customHeight="1" x14ac:dyDescent="0.45">
      <c r="B32" s="91" t="s">
        <v>54</v>
      </c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89"/>
      <c r="P32" s="89"/>
      <c r="Q32" s="86"/>
      <c r="V32" s="50"/>
      <c r="W32" s="50"/>
    </row>
    <row r="33" spans="1:23" s="51" customFormat="1" ht="25.5" customHeight="1" x14ac:dyDescent="0.45">
      <c r="B33" s="88" t="s">
        <v>55</v>
      </c>
      <c r="C33" s="89"/>
      <c r="D33" s="89"/>
      <c r="E33" s="86"/>
      <c r="F33" s="78"/>
      <c r="G33" s="79"/>
      <c r="H33" s="80"/>
      <c r="I33" s="126" t="s">
        <v>56</v>
      </c>
      <c r="J33" s="89"/>
      <c r="K33" s="78"/>
      <c r="L33" s="79"/>
      <c r="M33" s="80"/>
      <c r="N33" s="88" t="s">
        <v>57</v>
      </c>
      <c r="O33" s="86"/>
      <c r="P33" s="118"/>
      <c r="Q33" s="80"/>
      <c r="W33" s="52"/>
    </row>
    <row r="34" spans="1:23" s="51" customFormat="1" ht="25.5" customHeight="1" x14ac:dyDescent="0.45">
      <c r="B34" s="88" t="s">
        <v>58</v>
      </c>
      <c r="C34" s="89"/>
      <c r="D34" s="89"/>
      <c r="E34" s="86"/>
      <c r="F34" s="118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80"/>
      <c r="W34" s="53"/>
    </row>
    <row r="35" spans="1:23" s="51" customFormat="1" ht="25.5" customHeight="1" x14ac:dyDescent="0.45">
      <c r="B35" s="88" t="s">
        <v>59</v>
      </c>
      <c r="C35" s="89"/>
      <c r="D35" s="89"/>
      <c r="E35" s="86"/>
      <c r="F35" s="118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80"/>
    </row>
    <row r="36" spans="1:23" ht="25.5" customHeight="1" x14ac:dyDescent="0.45">
      <c r="B36" s="88" t="s">
        <v>60</v>
      </c>
      <c r="C36" s="89"/>
      <c r="D36" s="89"/>
      <c r="E36" s="86"/>
      <c r="F36" s="78"/>
      <c r="G36" s="79"/>
      <c r="H36" s="79"/>
      <c r="I36" s="79"/>
      <c r="J36" s="80"/>
      <c r="K36" s="116" t="s">
        <v>61</v>
      </c>
      <c r="L36" s="89"/>
      <c r="M36" s="86"/>
      <c r="N36" s="90"/>
      <c r="O36" s="79"/>
      <c r="P36" s="79"/>
      <c r="Q36" s="80"/>
    </row>
    <row r="37" spans="1:23" ht="25.5" customHeight="1" x14ac:dyDescent="0.45">
      <c r="B37" s="110" t="s">
        <v>62</v>
      </c>
      <c r="C37" s="111"/>
      <c r="D37" s="112"/>
      <c r="E37" s="151" t="s">
        <v>63</v>
      </c>
      <c r="F37" s="86"/>
      <c r="G37" s="125"/>
      <c r="H37" s="79"/>
      <c r="I37" s="79"/>
      <c r="J37" s="79"/>
      <c r="K37" s="80"/>
      <c r="L37" s="88" t="s">
        <v>64</v>
      </c>
      <c r="M37" s="86"/>
      <c r="N37" s="118"/>
      <c r="O37" s="79"/>
      <c r="P37" s="79"/>
      <c r="Q37" s="80"/>
    </row>
    <row r="38" spans="1:23" ht="25.5" customHeight="1" x14ac:dyDescent="0.45">
      <c r="B38" s="113"/>
      <c r="C38" s="114"/>
      <c r="D38" s="115"/>
      <c r="E38" s="88" t="s">
        <v>65</v>
      </c>
      <c r="F38" s="86"/>
      <c r="G38" s="118"/>
      <c r="H38" s="79"/>
      <c r="I38" s="79"/>
      <c r="J38" s="79"/>
      <c r="K38" s="79"/>
      <c r="L38" s="79"/>
      <c r="M38" s="79"/>
      <c r="N38" s="79"/>
      <c r="O38" s="79"/>
      <c r="P38" s="79"/>
      <c r="Q38" s="80"/>
    </row>
    <row r="39" spans="1:23" ht="15" customHeight="1" x14ac:dyDescent="0.45"/>
    <row r="40" spans="1:23" ht="12.75" customHeight="1" x14ac:dyDescent="0.45">
      <c r="B40" s="81" t="s">
        <v>66</v>
      </c>
      <c r="C40" s="76"/>
      <c r="D40" s="76"/>
      <c r="E40" s="76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76"/>
    </row>
    <row r="41" spans="1:23" ht="12.75" customHeight="1" x14ac:dyDescent="0.45"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</row>
    <row r="42" spans="1:23" ht="18" customHeight="1" x14ac:dyDescent="0.45">
      <c r="B42" s="81"/>
      <c r="C42" s="76"/>
      <c r="D42" s="76"/>
      <c r="E42" s="76"/>
      <c r="F42" s="76"/>
      <c r="G42" s="76"/>
      <c r="H42" s="105" t="s">
        <v>67</v>
      </c>
      <c r="I42" s="83"/>
      <c r="J42" s="83"/>
      <c r="K42" s="83"/>
      <c r="L42" s="83"/>
      <c r="M42" s="83"/>
      <c r="N42" s="127" t="s">
        <v>68</v>
      </c>
      <c r="O42" s="83"/>
      <c r="P42" s="83"/>
      <c r="Q42" s="83"/>
    </row>
    <row r="43" spans="1:23" ht="30" customHeight="1" x14ac:dyDescent="0.45">
      <c r="B43" s="136"/>
      <c r="C43" s="83"/>
      <c r="D43" s="106"/>
      <c r="E43" s="83"/>
      <c r="F43" s="83"/>
      <c r="G43" s="83"/>
      <c r="H43" s="83"/>
      <c r="I43" s="83"/>
      <c r="J43" s="83"/>
      <c r="K43" s="83"/>
      <c r="L43" s="54"/>
      <c r="M43" s="75"/>
      <c r="N43" s="76"/>
      <c r="O43" s="75"/>
      <c r="P43" s="76"/>
      <c r="Q43" s="55"/>
    </row>
    <row r="46" spans="1:23" ht="13.15" customHeight="1" x14ac:dyDescent="0.45">
      <c r="G46" s="56"/>
    </row>
    <row r="47" spans="1:23" ht="18" customHeight="1" x14ac:dyDescent="0.45">
      <c r="A47" s="57"/>
      <c r="B47" s="57" t="s">
        <v>69</v>
      </c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8" t="s">
        <v>70</v>
      </c>
      <c r="R47" s="58"/>
    </row>
  </sheetData>
  <mergeCells count="111"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D21:K21"/>
    <mergeCell ref="M13:N13"/>
    <mergeCell ref="M21:N21"/>
    <mergeCell ref="O21:P21"/>
    <mergeCell ref="D16:K16"/>
    <mergeCell ref="I33:J33"/>
    <mergeCell ref="C8:D8"/>
    <mergeCell ref="D18:K18"/>
    <mergeCell ref="K33:M33"/>
    <mergeCell ref="M24:N24"/>
    <mergeCell ref="B15:C15"/>
    <mergeCell ref="E8:G8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E38:F38"/>
    <mergeCell ref="B35:E35"/>
    <mergeCell ref="G38:Q38"/>
    <mergeCell ref="G37:K37"/>
    <mergeCell ref="N42:Q42"/>
    <mergeCell ref="I24:L24"/>
    <mergeCell ref="B28:Q28"/>
    <mergeCell ref="O19:P19"/>
    <mergeCell ref="D19:K19"/>
    <mergeCell ref="O10:P10"/>
    <mergeCell ref="O24:P24"/>
    <mergeCell ref="O18:P18"/>
    <mergeCell ref="L37:M37"/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</mergeCells>
  <phoneticPr fontId="2" type="noConversion"/>
  <dataValidations count="1">
    <dataValidation type="whole" allowBlank="1" showDropDown="1" showInputMessage="1" showErrorMessage="1" sqref="B14 B36" xr:uid="{00000000-0002-0000-0000-000000000000}">
      <formula1>1</formula1>
      <formula2>100</formula2>
    </dataValidation>
  </dataValidations>
  <printOptions horizontalCentered="1" verticalCentered="1"/>
  <pageMargins left="0" right="0" top="0" bottom="0" header="0" footer="0"/>
  <pageSetup paperSize="9" scale="7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94a4a24d3db44c59d619ceed2e810257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cfa97b280815ae6e386fe7959c5e1a05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08be9c2-0c1a-4717-9f14-d7720159b530">
      <Terms xmlns="http://schemas.microsoft.com/office/infopath/2007/PartnerControls"/>
    </lcf76f155ced4ddcb4097134ff3c332f>
    <TaxCatchAll xmlns="9c3c5594-c170-4f6a-b3bd-ec9b74c73275" xsi:nil="true"/>
  </documentManagement>
</p:properties>
</file>

<file path=customXml/itemProps1.xml><?xml version="1.0" encoding="utf-8"?>
<ds:datastoreItem xmlns:ds="http://schemas.openxmlformats.org/officeDocument/2006/customXml" ds:itemID="{744949C2-6B59-486B-9598-F6A1C6BA43DA}"/>
</file>

<file path=customXml/itemProps2.xml><?xml version="1.0" encoding="utf-8"?>
<ds:datastoreItem xmlns:ds="http://schemas.openxmlformats.org/officeDocument/2006/customXml" ds:itemID="{A457BFB8-5C59-40A8-9DA6-8A1828D8EAF4}"/>
</file>

<file path=customXml/itemProps3.xml><?xml version="1.0" encoding="utf-8"?>
<ds:datastoreItem xmlns:ds="http://schemas.openxmlformats.org/officeDocument/2006/customXml" ds:itemID="{9A3D0B9E-4AD5-4AB8-886D-3D43BB0AAE7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2025-08-18T04:41:05Z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