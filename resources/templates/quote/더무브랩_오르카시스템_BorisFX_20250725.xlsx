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2" documentId="11_B9EDDDDFD5B6EF8CA68CFC3695412CDF0EDBA2E4" xr6:coauthVersionLast="47" xr6:coauthVersionMax="47" xr10:uidLastSave="{0B622278-5921-474A-B817-555D330E1192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O24" i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O20" i="1"/>
  <c r="V20" i="1" s="1"/>
  <c r="W20" i="1" s="1"/>
  <c r="U19" i="1"/>
  <c r="O19" i="1"/>
  <c r="V19" i="1" s="1"/>
  <c r="W19" i="1" s="1"/>
  <c r="U18" i="1"/>
  <c r="U24" i="1" s="1"/>
  <c r="O18" i="1"/>
  <c r="U17" i="1"/>
  <c r="O17" i="1"/>
  <c r="V17" i="1" s="1"/>
  <c r="W17" i="1" s="1"/>
  <c r="U16" i="1"/>
  <c r="O16" i="1"/>
  <c r="V16" i="1" s="1"/>
  <c r="W16" i="1" s="1"/>
  <c r="U15" i="1"/>
  <c r="O15" i="1"/>
  <c r="V15" i="1" s="1"/>
  <c r="W15" i="1" s="1"/>
  <c r="U14" i="1"/>
  <c r="O14" i="1"/>
  <c r="V14" i="1" s="1"/>
  <c r="W14" i="1" l="1"/>
  <c r="V18" i="1"/>
  <c r="W18" i="1" s="1"/>
  <c r="O25" i="1"/>
  <c r="O26" i="1" s="1"/>
  <c r="E10" i="1" s="1"/>
  <c r="V24" i="1" l="1"/>
  <c r="W24" i="1" s="1"/>
</calcChain>
</file>

<file path=xl/sharedStrings.xml><?xml version="1.0" encoding="utf-8"?>
<sst xmlns="http://schemas.openxmlformats.org/spreadsheetml/2006/main" count="72" uniqueCount="72">
  <si>
    <t xml:space="preserve"> *   견 적 서   *</t>
  </si>
  <si>
    <t>견적일자</t>
  </si>
  <si>
    <t>공
급
자</t>
  </si>
  <si>
    <t>상  호</t>
  </si>
  <si>
    <t>큐브렉스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</si>
  <si>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</si>
  <si>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</si>
  <si>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</si>
  <si>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</si>
  <si>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</si>
  <si>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</si>
  <si>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</si>
  <si>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</si>
  <si>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</si>
  <si>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</si>
  <si>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</si>
  <si>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</si>
  <si>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</si>
  <si>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</si>
  <si>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</si>
  <si>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</si>
  <si>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</si>
  <si>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</si>
  <si>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</si>
  <si>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</si>
  <si>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</si>
  <si>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</si>
  <si>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</si>
  <si>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</si>
  <si>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</si>
  <si>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</si>
  <si>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</si>
  <si>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</si>
  <si>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</si>
  <si>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</si>
  <si>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</si>
  <si>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</si>
  <si>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</si>
  <si>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</si>
  <si>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</si>
  <si>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</si>
  <si>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</si>
  <si>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</si>
  <si>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</si>
  <si>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Sapphire (Adobe/OFX ) Annual - Renewal</t>
  </si>
  <si>
    <t>2025-08-02 ~ 2026-08-01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</si>
  <si>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</si>
  <si>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</si>
  <si>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</si>
  <si>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</si>
  <si>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</si>
  <si>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</si>
  <si>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</si>
  <si>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</si>
  <si>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</si>
  <si>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</si>
  <si>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</si>
  <si>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</si>
  <si>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</si>
  <si>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</si>
  <si>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</si>
  <si>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</si>
  <si>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</si>
  <si>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</si>
  <si>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</si>
  <si>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</si>
  <si>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</si>
  <si>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</si>
  <si>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</si>
  <si>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</si>
  <si>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</si>
  <si>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더무브랩 - 오르카시스템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</si>
</sst>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0" fontId="13" fillId="0" borderId="0" xfId="0" applyFont="1" applyAlignment="1">
      <alignment horizontal="distributed" vertical="center"/>
    </xf>
    <xf numFmtId="0" fontId="0" fillId="0" borderId="0" xfId="0" applyAlignment="1"/>
    <xf numFmtId="41" fontId="20" fillId="0" borderId="9" xfId="1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0" fontId="6" fillId="0" borderId="9" xfId="0" applyFont="1" applyBorder="1" applyAlignment="1" applyProtection="1">
      <alignment horizontal="left" vertical="center" indent="1"/>
      <protection locked="0"/>
    </xf>
    <xf numFmtId="0" fontId="0" fillId="0" borderId="11" xfId="0" applyBorder="1" applyAlignment="1" applyProtection="1">
      <protection locked="0"/>
    </xf>
    <xf numFmtId="0" fontId="12" fillId="3" borderId="9" xfId="0" applyFont="1" applyFill="1" applyBorder="1" applyAlignment="1">
      <alignment horizontal="center" vertical="center"/>
    </xf>
    <xf numFmtId="0" fontId="0" fillId="0" borderId="11" xfId="0" applyBorder="1" applyAlignment="1"/>
    <xf numFmtId="0" fontId="21" fillId="0" borderId="9" xfId="0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17" xfId="0" applyBorder="1" applyAlignment="1"/>
    <xf numFmtId="0" fontId="0" fillId="0" borderId="13" xfId="0" applyBorder="1" applyAlignment="1"/>
    <xf numFmtId="0" fontId="0" fillId="0" borderId="10" xfId="0" applyBorder="1" applyAlignment="1"/>
    <xf numFmtId="0" fontId="0" fillId="0" borderId="6" xfId="0" applyBorder="1" applyAlignment="1"/>
    <xf numFmtId="0" fontId="0" fillId="0" borderId="14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3" fillId="2" borderId="0" xfId="0" applyFont="1" applyFill="1" applyAlignment="1">
      <alignment horizontal="center" vertical="center"/>
    </xf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4" borderId="9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0" fillId="0" borderId="1" xfId="0" applyBorder="1" applyAlignment="1" applyProtection="1">
      <protection locked="0"/>
    </xf>
    <xf numFmtId="0" fontId="9" fillId="0" borderId="9" xfId="0" applyFont="1" applyBorder="1" applyAlignment="1">
      <alignment horizontal="center" vertical="center"/>
    </xf>
    <xf numFmtId="0" fontId="0" fillId="0" borderId="5" xfId="0" applyBorder="1" applyAlignment="1"/>
    <xf numFmtId="0" fontId="19" fillId="4" borderId="9" xfId="0" applyFont="1" applyFill="1" applyBorder="1" applyAlignment="1">
      <alignment horizontal="left" vertical="center"/>
    </xf>
    <xf numFmtId="0" fontId="9" fillId="0" borderId="7" xfId="0" applyFont="1" applyBorder="1" applyAlignment="1">
      <alignment horizontal="left" vertical="center" indent="1"/>
    </xf>
    <xf numFmtId="0" fontId="19" fillId="0" borderId="9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0" fillId="0" borderId="6" xfId="0" applyBorder="1" applyAlignment="1" applyProtection="1">
      <protection locked="0"/>
    </xf>
    <xf numFmtId="0" fontId="21" fillId="0" borderId="0" xfId="0" applyFont="1">
      <alignment vertical="center"/>
    </xf>
    <xf numFmtId="0" fontId="9" fillId="0" borderId="8" xfId="0" applyFont="1" applyBorder="1" applyAlignment="1">
      <alignment horizontal="left" vertical="center"/>
    </xf>
    <xf numFmtId="41" fontId="20" fillId="0" borderId="5" xfId="1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0" fillId="0" borderId="2" xfId="0" applyBorder="1" applyAlignment="1" applyProtection="1">
      <protection locked="0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0" fontId="19" fillId="4" borderId="7" xfId="0" applyFont="1" applyFill="1" applyBorder="1" applyAlignment="1">
      <alignment horizontal="left" vertical="center"/>
    </xf>
    <xf numFmtId="0" fontId="19" fillId="0" borderId="9" xfId="0" applyFont="1" applyBorder="1" applyProtection="1">
      <alignment vertical="center"/>
      <protection locked="0"/>
    </xf>
    <xf numFmtId="0" fontId="5" fillId="0" borderId="0" xfId="3" applyAlignment="1" applyProtection="1">
      <alignment horizontal="left" indent="2"/>
      <protection locked="0"/>
    </xf>
    <xf numFmtId="41" fontId="19" fillId="0" borderId="9" xfId="1" applyFont="1" applyBorder="1" applyAlignment="1">
      <alignment horizontal="right" vertical="center"/>
    </xf>
    <xf numFmtId="0" fontId="21" fillId="0" borderId="0" xfId="0" applyFont="1" applyAlignment="1" applyProtection="1">
      <alignment horizontal="center" vertical="center"/>
      <protection locked="0"/>
    </xf>
    <xf numFmtId="41" fontId="20" fillId="0" borderId="0" xfId="1" applyFont="1" applyAlignment="1">
      <alignment horizontal="center" vertical="center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1" xfId="0" applyBorder="1" applyAlignment="1"/>
    <xf numFmtId="0" fontId="19" fillId="4" borderId="9" xfId="0" applyFont="1" applyFill="1" applyBorder="1">
      <alignment vertical="center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21" fillId="0" borderId="0" xfId="0" applyFont="1" applyAlignment="1" applyProtection="1">
      <alignment horizontal="right" vertical="center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41" fontId="19" fillId="0" borderId="9" xfId="1" applyFont="1" applyBorder="1" applyAlignment="1">
      <alignment horizontal="center" vertical="center"/>
    </xf>
    <xf numFmtId="0" fontId="17" fillId="0" borderId="2" xfId="0" applyFont="1" applyBorder="1" applyAlignment="1" applyProtection="1">
      <alignment horizontal="center"/>
      <protection locked="0"/>
    </xf>
    <xf numFmtId="0" fontId="19" fillId="0" borderId="8" xfId="0" applyFont="1" applyBorder="1" applyProtection="1">
      <alignment vertical="center"/>
      <protection locked="0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6" fillId="0" borderId="0" xfId="0" applyFont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C6" sqref="C6:D6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93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17" t="s">
        <v>1</v>
      </c>
      <c r="D3" s="118"/>
      <c r="E3" s="119">
        <v>45863</v>
      </c>
      <c r="F3" s="120"/>
      <c r="G3" s="5"/>
      <c r="I3" s="6"/>
      <c r="L3" s="148" t="s">
        <v>2</v>
      </c>
      <c r="M3" s="104" t="s">
        <v>3</v>
      </c>
      <c r="N3" s="72"/>
      <c r="O3" s="72"/>
      <c r="P3" s="72"/>
      <c r="Q3" s="115" t="s">
        <v>4</v>
      </c>
    </row>
    <row r="4" spans="2:27" ht="13.5" customHeight="1" x14ac:dyDescent="0.45">
      <c r="C4" s="145" t="s">
        <v>71</v>
      </c>
      <c r="D4" s="101"/>
      <c r="E4" s="101"/>
      <c r="F4" s="101"/>
      <c r="L4" s="149"/>
      <c r="M4" s="105"/>
      <c r="N4" s="71"/>
      <c r="O4" s="71"/>
      <c r="P4" s="71"/>
      <c r="Q4" s="90"/>
    </row>
    <row r="5" spans="2:27" ht="18" customHeight="1" x14ac:dyDescent="0.85">
      <c r="B5" s="8"/>
      <c r="C5" s="120"/>
      <c r="D5" s="120"/>
      <c r="E5" s="120"/>
      <c r="F5" s="120"/>
      <c r="G5" s="9" t="s">
        <v>5</v>
      </c>
      <c r="H5" s="10"/>
      <c r="I5" s="10"/>
      <c r="J5" s="10"/>
      <c r="L5" s="149"/>
      <c r="M5" s="59" t="s">
        <v>6</v>
      </c>
      <c r="N5" s="121" t="s">
        <v>7</v>
      </c>
      <c r="O5" s="80"/>
      <c r="P5" s="11" t="s">
        <v>8</v>
      </c>
      <c r="Q5" s="12" t="s">
        <v>9</v>
      </c>
      <c r="U5" s="45"/>
    </row>
    <row r="6" spans="2:27" ht="31.5" customHeight="1" x14ac:dyDescent="0.6">
      <c r="B6" s="13"/>
      <c r="C6" s="109" t="s">
        <v>10</v>
      </c>
      <c r="D6" s="76"/>
      <c r="E6" s="122"/>
      <c r="F6" s="101"/>
      <c r="G6" s="101"/>
      <c r="H6" s="14"/>
      <c r="I6" s="9"/>
      <c r="J6" s="15"/>
      <c r="L6" s="149"/>
      <c r="M6" s="59" t="s">
        <v>11</v>
      </c>
      <c r="N6" s="98" t="s">
        <v>12</v>
      </c>
      <c r="O6" s="84"/>
      <c r="P6" s="84"/>
      <c r="Q6" s="80"/>
      <c r="R6" s="16"/>
      <c r="S6" s="16"/>
      <c r="V6" s="45"/>
    </row>
    <row r="7" spans="2:27" ht="21.75" customHeight="1" x14ac:dyDescent="0.6">
      <c r="B7" s="13"/>
      <c r="C7" s="109" t="s">
        <v>13</v>
      </c>
      <c r="D7" s="76"/>
      <c r="E7" s="122"/>
      <c r="F7" s="101"/>
      <c r="G7" s="101"/>
      <c r="H7" s="17"/>
      <c r="I7" s="18"/>
      <c r="J7" s="19"/>
      <c r="K7" s="19"/>
      <c r="L7" s="149"/>
      <c r="M7" s="59" t="s">
        <v>14</v>
      </c>
      <c r="N7" s="121" t="s">
        <v>15</v>
      </c>
      <c r="O7" s="80"/>
      <c r="P7" s="20" t="s">
        <v>16</v>
      </c>
      <c r="Q7" s="21" t="s">
        <v>17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109" t="s">
        <v>18</v>
      </c>
      <c r="D8" s="76"/>
      <c r="E8" s="125"/>
      <c r="F8" s="101"/>
      <c r="G8" s="101"/>
      <c r="H8" s="22"/>
      <c r="I8" s="18"/>
      <c r="J8" s="19"/>
      <c r="K8" s="19"/>
      <c r="L8" s="105"/>
      <c r="M8" s="59" t="s">
        <v>19</v>
      </c>
      <c r="N8" s="107" t="s">
        <v>20</v>
      </c>
      <c r="O8" s="84"/>
      <c r="P8" s="23" t="s">
        <v>21</v>
      </c>
      <c r="Q8" s="24" t="s">
        <v>22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75" t="s">
        <v>23</v>
      </c>
      <c r="D10" s="76"/>
      <c r="E10" s="130">
        <f>O26</f>
        <v>2904000</v>
      </c>
      <c r="F10" s="76"/>
      <c r="G10" s="76"/>
      <c r="H10" s="76"/>
      <c r="I10" s="151" t="s">
        <v>24</v>
      </c>
      <c r="J10" s="76"/>
      <c r="K10" s="76"/>
      <c r="L10" s="73" t="s">
        <v>25</v>
      </c>
      <c r="M10" s="147" t="s">
        <v>26</v>
      </c>
      <c r="N10" s="143"/>
      <c r="O10" s="142" t="s">
        <v>27</v>
      </c>
      <c r="P10" s="143"/>
      <c r="Q10" s="74" t="s">
        <v>28</v>
      </c>
      <c r="R10" s="19"/>
      <c r="S10" s="16"/>
      <c r="U10" s="68"/>
    </row>
    <row r="11" spans="2:27" ht="20.25" customHeight="1" x14ac:dyDescent="0.45">
      <c r="C11" s="32" t="s">
        <v>29</v>
      </c>
      <c r="E11" s="32"/>
      <c r="F11" s="22"/>
      <c r="G11" s="22"/>
      <c r="H11" s="22"/>
      <c r="I11" s="33"/>
      <c r="J11" s="33"/>
      <c r="K11" s="33"/>
      <c r="M11" s="102"/>
      <c r="N11" s="103"/>
      <c r="O11" s="131"/>
      <c r="P11" s="103"/>
      <c r="Q11" s="34"/>
      <c r="R11" s="16"/>
      <c r="S11" s="16"/>
      <c r="T11" s="35" t="s">
        <v>30</v>
      </c>
    </row>
    <row r="12" spans="2:27" ht="22.5" customHeight="1" x14ac:dyDescent="0.45">
      <c r="B12" s="83" t="s">
        <v>31</v>
      </c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0"/>
      <c r="T12" s="35" t="s">
        <v>32</v>
      </c>
    </row>
    <row r="13" spans="2:27" ht="22.5" customHeight="1" x14ac:dyDescent="0.45">
      <c r="B13" s="97" t="s">
        <v>33</v>
      </c>
      <c r="C13" s="80"/>
      <c r="D13" s="97" t="s">
        <v>34</v>
      </c>
      <c r="E13" s="84"/>
      <c r="F13" s="84"/>
      <c r="G13" s="84"/>
      <c r="H13" s="84"/>
      <c r="I13" s="84"/>
      <c r="J13" s="84"/>
      <c r="K13" s="80"/>
      <c r="L13" s="36" t="s">
        <v>35</v>
      </c>
      <c r="M13" s="97" t="s">
        <v>36</v>
      </c>
      <c r="N13" s="80"/>
      <c r="O13" s="97" t="s">
        <v>37</v>
      </c>
      <c r="P13" s="80"/>
      <c r="Q13" s="36" t="s">
        <v>38</v>
      </c>
      <c r="T13" s="36" t="s">
        <v>39</v>
      </c>
      <c r="U13" s="61" t="s">
        <v>40</v>
      </c>
      <c r="V13" s="62" t="s">
        <v>41</v>
      </c>
      <c r="W13" s="37" t="s">
        <v>42</v>
      </c>
      <c r="X13" s="61" t="s">
        <v>43</v>
      </c>
    </row>
    <row r="14" spans="2:27" ht="33" customHeight="1" x14ac:dyDescent="0.45">
      <c r="B14" s="79">
        <v>1</v>
      </c>
      <c r="C14" s="80"/>
      <c r="D14" s="96" t="s">
        <v>44</v>
      </c>
      <c r="E14" s="82"/>
      <c r="F14" s="82"/>
      <c r="G14" s="82"/>
      <c r="H14" s="82"/>
      <c r="I14" s="82"/>
      <c r="J14" s="82"/>
      <c r="K14" s="78"/>
      <c r="L14" s="38">
        <v>4</v>
      </c>
      <c r="M14" s="77">
        <v>660000</v>
      </c>
      <c r="N14" s="78"/>
      <c r="O14" s="94">
        <f t="shared" ref="O14:O23" si="0">M14*L14</f>
        <v>2640000</v>
      </c>
      <c r="P14" s="80"/>
      <c r="Q14" s="64" t="s">
        <v>45</v>
      </c>
      <c r="T14" s="39">
        <v>636342</v>
      </c>
      <c r="U14" s="39">
        <f>T14*L14</f>
        <v>2545368</v>
      </c>
      <c r="V14" s="41">
        <f t="shared" ref="V14:V23" si="1">O14-U14</f>
        <v>94632</v>
      </c>
      <c r="W14" s="42">
        <f t="shared" ref="W14:W24" si="2">V14/O14</f>
        <v>3.5845454545454548E-2</v>
      </c>
      <c r="X14" s="66"/>
      <c r="Y14" s="44"/>
      <c r="AA14" s="45"/>
    </row>
    <row r="15" spans="2:27" ht="33" customHeight="1" x14ac:dyDescent="0.45">
      <c r="B15" s="79">
        <v>2</v>
      </c>
      <c r="C15" s="80"/>
      <c r="D15" s="96"/>
      <c r="E15" s="82"/>
      <c r="F15" s="82"/>
      <c r="G15" s="82"/>
      <c r="H15" s="82"/>
      <c r="I15" s="82"/>
      <c r="J15" s="82"/>
      <c r="K15" s="78"/>
      <c r="L15" s="38"/>
      <c r="M15" s="77"/>
      <c r="N15" s="78"/>
      <c r="O15" s="94">
        <f t="shared" si="0"/>
        <v>0</v>
      </c>
      <c r="P15" s="80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79">
        <v>3</v>
      </c>
      <c r="C16" s="80"/>
      <c r="D16" s="96"/>
      <c r="E16" s="82"/>
      <c r="F16" s="82"/>
      <c r="G16" s="82"/>
      <c r="H16" s="82"/>
      <c r="I16" s="82"/>
      <c r="J16" s="82"/>
      <c r="K16" s="78"/>
      <c r="L16" s="38"/>
      <c r="M16" s="77"/>
      <c r="N16" s="78"/>
      <c r="O16" s="94">
        <f t="shared" si="0"/>
        <v>0</v>
      </c>
      <c r="P16" s="80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79">
        <v>4</v>
      </c>
      <c r="C17" s="80"/>
      <c r="D17" s="150"/>
      <c r="E17" s="82"/>
      <c r="F17" s="82"/>
      <c r="G17" s="82"/>
      <c r="H17" s="82"/>
      <c r="I17" s="82"/>
      <c r="J17" s="82"/>
      <c r="K17" s="78"/>
      <c r="L17" s="38"/>
      <c r="M17" s="77"/>
      <c r="N17" s="78"/>
      <c r="O17" s="94">
        <f t="shared" si="0"/>
        <v>0</v>
      </c>
      <c r="P17" s="80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79">
        <v>5</v>
      </c>
      <c r="C18" s="80"/>
      <c r="D18" s="96"/>
      <c r="E18" s="82"/>
      <c r="F18" s="82"/>
      <c r="G18" s="82"/>
      <c r="H18" s="82"/>
      <c r="I18" s="82"/>
      <c r="J18" s="82"/>
      <c r="K18" s="78"/>
      <c r="L18" s="38"/>
      <c r="M18" s="77"/>
      <c r="N18" s="78"/>
      <c r="O18" s="94">
        <f t="shared" si="0"/>
        <v>0</v>
      </c>
      <c r="P18" s="80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79">
        <v>6</v>
      </c>
      <c r="C19" s="80"/>
      <c r="D19" s="141"/>
      <c r="E19" s="103"/>
      <c r="F19" s="103"/>
      <c r="G19" s="103"/>
      <c r="H19" s="103"/>
      <c r="I19" s="103"/>
      <c r="J19" s="103"/>
      <c r="K19" s="113"/>
      <c r="L19" s="69"/>
      <c r="M19" s="116"/>
      <c r="N19" s="113"/>
      <c r="O19" s="94">
        <f t="shared" si="0"/>
        <v>0</v>
      </c>
      <c r="P19" s="80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79">
        <v>7</v>
      </c>
      <c r="C20" s="80"/>
      <c r="D20" s="96"/>
      <c r="E20" s="82"/>
      <c r="F20" s="82"/>
      <c r="G20" s="82"/>
      <c r="H20" s="82"/>
      <c r="I20" s="82"/>
      <c r="J20" s="82"/>
      <c r="K20" s="78"/>
      <c r="L20" s="38"/>
      <c r="M20" s="77"/>
      <c r="N20" s="78"/>
      <c r="O20" s="94">
        <f t="shared" si="0"/>
        <v>0</v>
      </c>
      <c r="P20" s="80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79">
        <v>8</v>
      </c>
      <c r="C21" s="80"/>
      <c r="D21" s="96"/>
      <c r="E21" s="82"/>
      <c r="F21" s="82"/>
      <c r="G21" s="82"/>
      <c r="H21" s="82"/>
      <c r="I21" s="82"/>
      <c r="J21" s="82"/>
      <c r="K21" s="78"/>
      <c r="L21" s="38"/>
      <c r="M21" s="77"/>
      <c r="N21" s="78"/>
      <c r="O21" s="94">
        <f t="shared" si="0"/>
        <v>0</v>
      </c>
      <c r="P21" s="80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79">
        <v>9</v>
      </c>
      <c r="C22" s="80"/>
      <c r="D22" s="96"/>
      <c r="E22" s="82"/>
      <c r="F22" s="82"/>
      <c r="G22" s="82"/>
      <c r="H22" s="82"/>
      <c r="I22" s="82"/>
      <c r="J22" s="82"/>
      <c r="K22" s="78"/>
      <c r="L22" s="38"/>
      <c r="M22" s="77"/>
      <c r="N22" s="78"/>
      <c r="O22" s="94">
        <f t="shared" si="0"/>
        <v>0</v>
      </c>
      <c r="P22" s="80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79">
        <v>10</v>
      </c>
      <c r="C23" s="80"/>
      <c r="D23" s="96"/>
      <c r="E23" s="82"/>
      <c r="F23" s="82"/>
      <c r="G23" s="82"/>
      <c r="H23" s="82"/>
      <c r="I23" s="82"/>
      <c r="J23" s="82"/>
      <c r="K23" s="78"/>
      <c r="L23" s="38"/>
      <c r="M23" s="77"/>
      <c r="N23" s="78"/>
      <c r="O23" s="94">
        <f t="shared" si="0"/>
        <v>0</v>
      </c>
      <c r="P23" s="80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85" t="s">
        <v>46</v>
      </c>
      <c r="C24" s="86"/>
      <c r="D24" s="91" t="s">
        <v>47</v>
      </c>
      <c r="E24" s="92"/>
      <c r="F24" s="92"/>
      <c r="G24" s="92"/>
      <c r="H24" s="92"/>
      <c r="I24" s="138" t="s">
        <v>48</v>
      </c>
      <c r="J24" s="92"/>
      <c r="K24" s="92"/>
      <c r="L24" s="139"/>
      <c r="M24" s="108" t="s">
        <v>49</v>
      </c>
      <c r="N24" s="80"/>
      <c r="O24" s="144">
        <f>SUM(O14:P23)</f>
        <v>2640000</v>
      </c>
      <c r="P24" s="80"/>
      <c r="Q24" s="48"/>
      <c r="T24" s="39">
        <f>SUM(T14:T23)</f>
        <v>636342</v>
      </c>
      <c r="U24" s="39">
        <f>SUM(U14:U23)</f>
        <v>2545368</v>
      </c>
      <c r="V24" s="39">
        <f>SUM(V14:V23)</f>
        <v>94632</v>
      </c>
      <c r="W24" s="42">
        <f t="shared" si="2"/>
        <v>3.5845454545454548E-2</v>
      </c>
      <c r="X24" s="43"/>
      <c r="Y24" s="44"/>
    </row>
    <row r="25" spans="2:25" ht="21" customHeight="1" x14ac:dyDescent="0.45">
      <c r="B25" s="87"/>
      <c r="C25" s="88"/>
      <c r="D25" s="110" t="s">
        <v>50</v>
      </c>
      <c r="E25" s="101"/>
      <c r="F25" s="101"/>
      <c r="G25" s="101"/>
      <c r="H25" s="101"/>
      <c r="I25" s="101"/>
      <c r="J25" s="101"/>
      <c r="K25" s="101"/>
      <c r="L25" s="111"/>
      <c r="M25" s="108" t="s">
        <v>51</v>
      </c>
      <c r="N25" s="80"/>
      <c r="O25" s="126">
        <f>O24*0.1</f>
        <v>264000</v>
      </c>
      <c r="P25" s="80"/>
      <c r="Q25" s="48"/>
      <c r="Y25" s="44"/>
    </row>
    <row r="26" spans="2:25" ht="21" customHeight="1" x14ac:dyDescent="0.45">
      <c r="B26" s="89"/>
      <c r="C26" s="90"/>
      <c r="D26" s="112"/>
      <c r="E26" s="103"/>
      <c r="F26" s="103"/>
      <c r="G26" s="103"/>
      <c r="H26" s="103"/>
      <c r="I26" s="103"/>
      <c r="J26" s="103"/>
      <c r="K26" s="103"/>
      <c r="L26" s="113"/>
      <c r="M26" s="108" t="s">
        <v>52</v>
      </c>
      <c r="N26" s="80"/>
      <c r="O26" s="126">
        <f>SUM(O24:P25)</f>
        <v>2904000</v>
      </c>
      <c r="P26" s="80"/>
      <c r="Q26" s="48"/>
      <c r="W26" s="45"/>
      <c r="X26" s="49"/>
    </row>
    <row r="27" spans="2:25" ht="6.75" customHeight="1" x14ac:dyDescent="0.45"/>
    <row r="28" spans="2:25" ht="6.75" customHeight="1" x14ac:dyDescent="0.45">
      <c r="B28" s="140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99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83" t="s">
        <v>54</v>
      </c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0"/>
      <c r="V32" s="50"/>
      <c r="W32" s="50"/>
    </row>
    <row r="33" spans="1:23" s="51" customFormat="1" ht="25.5" customHeight="1" x14ac:dyDescent="0.45">
      <c r="B33" s="106" t="s">
        <v>55</v>
      </c>
      <c r="C33" s="84"/>
      <c r="D33" s="84"/>
      <c r="E33" s="80"/>
      <c r="F33" s="124"/>
      <c r="G33" s="82"/>
      <c r="H33" s="78"/>
      <c r="I33" s="123" t="s">
        <v>56</v>
      </c>
      <c r="J33" s="84"/>
      <c r="K33" s="124"/>
      <c r="L33" s="82"/>
      <c r="M33" s="78"/>
      <c r="N33" s="106" t="s">
        <v>57</v>
      </c>
      <c r="O33" s="80"/>
      <c r="P33" s="81"/>
      <c r="Q33" s="78"/>
      <c r="W33" s="52"/>
    </row>
    <row r="34" spans="1:23" s="51" customFormat="1" ht="25.5" customHeight="1" x14ac:dyDescent="0.45">
      <c r="B34" s="106" t="s">
        <v>58</v>
      </c>
      <c r="C34" s="84"/>
      <c r="D34" s="84"/>
      <c r="E34" s="80"/>
      <c r="F34" s="81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78"/>
      <c r="W34" s="53"/>
    </row>
    <row r="35" spans="1:23" s="51" customFormat="1" ht="25.5" customHeight="1" x14ac:dyDescent="0.45">
      <c r="B35" s="106" t="s">
        <v>59</v>
      </c>
      <c r="C35" s="84"/>
      <c r="D35" s="84"/>
      <c r="E35" s="80"/>
      <c r="F35" s="81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78"/>
    </row>
    <row r="36" spans="1:23" ht="25.5" customHeight="1" x14ac:dyDescent="0.45">
      <c r="B36" s="106" t="s">
        <v>60</v>
      </c>
      <c r="C36" s="84"/>
      <c r="D36" s="84"/>
      <c r="E36" s="80"/>
      <c r="F36" s="124"/>
      <c r="G36" s="82"/>
      <c r="H36" s="82"/>
      <c r="I36" s="82"/>
      <c r="J36" s="78"/>
      <c r="K36" s="135" t="s">
        <v>61</v>
      </c>
      <c r="L36" s="84"/>
      <c r="M36" s="80"/>
      <c r="N36" s="146"/>
      <c r="O36" s="82"/>
      <c r="P36" s="82"/>
      <c r="Q36" s="78"/>
    </row>
    <row r="37" spans="1:23" ht="25.5" customHeight="1" x14ac:dyDescent="0.45">
      <c r="B37" s="132" t="s">
        <v>62</v>
      </c>
      <c r="C37" s="133"/>
      <c r="D37" s="86"/>
      <c r="E37" s="95" t="s">
        <v>63</v>
      </c>
      <c r="F37" s="80"/>
      <c r="G37" s="136"/>
      <c r="H37" s="82"/>
      <c r="I37" s="82"/>
      <c r="J37" s="82"/>
      <c r="K37" s="78"/>
      <c r="L37" s="106" t="s">
        <v>64</v>
      </c>
      <c r="M37" s="80"/>
      <c r="N37" s="81"/>
      <c r="O37" s="82"/>
      <c r="P37" s="82"/>
      <c r="Q37" s="78"/>
    </row>
    <row r="38" spans="1:23" ht="25.5" customHeight="1" x14ac:dyDescent="0.45">
      <c r="B38" s="89"/>
      <c r="C38" s="134"/>
      <c r="D38" s="90"/>
      <c r="E38" s="106" t="s">
        <v>65</v>
      </c>
      <c r="F38" s="80"/>
      <c r="G38" s="81"/>
      <c r="H38" s="82"/>
      <c r="I38" s="82"/>
      <c r="J38" s="82"/>
      <c r="K38" s="82"/>
      <c r="L38" s="82"/>
      <c r="M38" s="82"/>
      <c r="N38" s="82"/>
      <c r="O38" s="82"/>
      <c r="P38" s="82"/>
      <c r="Q38" s="78"/>
    </row>
    <row r="39" spans="1:23" ht="15" customHeight="1" x14ac:dyDescent="0.45"/>
    <row r="40" spans="1:23" ht="12.75" customHeight="1" x14ac:dyDescent="0.45">
      <c r="B40" s="114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114"/>
      <c r="C42" s="76"/>
      <c r="D42" s="76"/>
      <c r="E42" s="76"/>
      <c r="F42" s="76"/>
      <c r="G42" s="76"/>
      <c r="H42" s="127" t="s">
        <v>67</v>
      </c>
      <c r="I42" s="101"/>
      <c r="J42" s="101"/>
      <c r="K42" s="101"/>
      <c r="L42" s="101"/>
      <c r="M42" s="101"/>
      <c r="N42" s="137" t="s">
        <v>68</v>
      </c>
      <c r="O42" s="101"/>
      <c r="P42" s="101"/>
      <c r="Q42" s="101"/>
    </row>
    <row r="43" spans="1:23" ht="30" customHeight="1" x14ac:dyDescent="0.45">
      <c r="B43" s="100"/>
      <c r="C43" s="101"/>
      <c r="D43" s="129"/>
      <c r="E43" s="101"/>
      <c r="F43" s="101"/>
      <c r="G43" s="101"/>
      <c r="H43" s="101"/>
      <c r="I43" s="101"/>
      <c r="J43" s="101"/>
      <c r="K43" s="101"/>
      <c r="L43" s="54"/>
      <c r="M43" s="128"/>
      <c r="N43" s="76"/>
      <c r="O43" s="128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C6:D6"/>
    <mergeCell ref="F33:H33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C3:D3"/>
    <mergeCell ref="E3:F3"/>
    <mergeCell ref="D20:K20"/>
    <mergeCell ref="B16:C16"/>
    <mergeCell ref="N7:O7"/>
    <mergeCell ref="B33:E33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E4C6A68-67D5-4940-BC41-E88C2F239553}"/>
</file>

<file path=customXml/itemProps2.xml><?xml version="1.0" encoding="utf-8"?>
<ds:datastoreItem xmlns:ds="http://schemas.openxmlformats.org/officeDocument/2006/customXml" ds:itemID="{918076C1-B53C-4C0E-9D03-015B37019C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008043-479D-4873-AB73-C8C409AB1770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2025-07-25T07:24:09Z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