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C18FC1A0-35BA-478B-948C-CA31F6B7A4AF}" xr6:coauthVersionLast="47" xr6:coauthVersionMax="47" xr10:uidLastSave="{00000000-0000-0000-0000-000000000000}"/>
  <bookViews>
    <workbookView xWindow="52560" yWindow="10536" windowWidth="10128" windowHeight="5820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4" i="8" s="1"/>
  <c r="W14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15" i="8" l="1"/>
  <c r="W15" i="8" s="1"/>
  <c r="V22" i="8"/>
  <c r="W22" i="8" s="1"/>
  <c r="O24" i="8"/>
  <c r="U24" i="8"/>
  <c r="V24" i="8" l="1"/>
  <c r="W24" i="8" s="1"/>
  <c r="O25" i="8"/>
  <c r="O26" i="8" s="1"/>
  <c r="E10" i="8" s="1"/>
</calcChain>
</file>

<file path=xl/sharedStrings.xml><?xml version="1.0" encoding="utf-8"?>
<sst xmlns="http://schemas.openxmlformats.org/spreadsheetml/2006/main" count="72" uniqueCount="72">
  <si>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</si>
  <si>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</si>
  <si>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</si>
  <si>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</si>
  <si>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</si>
  <si>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</si>
  <si>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</si>
  <si>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</si>
  <si>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</si>
  <si>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</si>
  <si>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</si>
  <si>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</si>
  <si>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</si>
  <si>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</si>
  <si>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</si>
  <si>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</si>
  <si>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</si>
  <si>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</si>
  <si>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</si>
  <si>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</si>
  <si>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</si>
  <si>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</si>
  <si>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</si>
  <si>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</si>
  <si>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</si>
  <si>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</si>
  <si>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</si>
  <si>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</si>
  <si>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</si>
  <si>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</si>
  <si>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</si>
  <si>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</si>
  <si>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</si>
  <si>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</si>
  <si>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</si>
  <si>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</si>
  <si>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</si>
  <si>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</si>
  <si>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</si>
  <si>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</si>
  <si>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</si>
  <si>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</si>
  <si>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</si>
  <si>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</si>
  <si>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</si>
  <si>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</si>
  <si>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</si>
  <si>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</si>
  <si>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</si>
  <si>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</si>
  <si>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</si>
  <si>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</si>
  <si>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</si>
  <si>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</si>
  <si>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</si>
  <si>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</si>
  <si>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</si>
  <si>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</si>
  <si>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</si>
  <si>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</si>
  <si>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</si>
  <si>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</si>
  <si>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</si>
  <si>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</si>
  <si>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</si>
  <si>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</si>
  <si>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</si>
  <si>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</si>
  <si>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</si>
  <si>
    <t>한국지주</t>
  </si>
  <si>
    <t>기술지원수수료</t>
  </si>
  <si>
    <t>V3 Internet Security 9.0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</si>
</sst>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14" fontId="9" fillId="0" borderId="10" xfId="1" applyNumberFormat="1" applyFont="1" applyFill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157" t="s">
        <v>57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58" t="s">
        <v>0</v>
      </c>
      <c r="D3" s="158"/>
      <c r="E3" s="159">
        <v>45869</v>
      </c>
      <c r="F3" s="159"/>
      <c r="G3" s="5"/>
      <c r="I3" s="6"/>
      <c r="J3" s="7"/>
      <c r="L3" s="160" t="s">
        <v>1</v>
      </c>
      <c r="M3" s="163" t="s">
        <v>2</v>
      </c>
      <c r="N3" s="73"/>
      <c r="O3" s="73"/>
      <c r="P3" s="73"/>
      <c r="Q3" s="165" t="s">
        <v>64</v>
      </c>
    </row>
    <row r="4" spans="2:27" ht="13.5" customHeight="1">
      <c r="C4" s="167" t="s">
        <v>69</v>
      </c>
      <c r="D4" s="167"/>
      <c r="E4" s="167"/>
      <c r="F4" s="167"/>
      <c r="L4" s="161"/>
      <c r="M4" s="164"/>
      <c r="N4" s="72"/>
      <c r="O4" s="72"/>
      <c r="P4" s="72"/>
      <c r="Q4" s="166"/>
    </row>
    <row r="5" spans="2:27" ht="18" customHeight="1">
      <c r="B5" s="8"/>
      <c r="C5" s="168"/>
      <c r="D5" s="168"/>
      <c r="E5" s="168"/>
      <c r="F5" s="168"/>
      <c r="G5" s="9" t="s">
        <v>3</v>
      </c>
      <c r="H5" s="10"/>
      <c r="I5" s="10"/>
      <c r="J5" s="10"/>
      <c r="L5" s="161"/>
      <c r="M5" s="59" t="s">
        <v>4</v>
      </c>
      <c r="N5" s="169" t="s">
        <v>5</v>
      </c>
      <c r="O5" s="170"/>
      <c r="P5" s="11" t="s">
        <v>6</v>
      </c>
      <c r="Q5" s="12" t="s">
        <v>7</v>
      </c>
      <c r="U5" s="68"/>
    </row>
    <row r="6" spans="2:27" ht="31.5" customHeight="1">
      <c r="B6" s="13"/>
      <c r="C6" s="171" t="s">
        <v>61</v>
      </c>
      <c r="D6" s="171"/>
      <c r="E6" s="172"/>
      <c r="F6" s="172"/>
      <c r="G6" s="172"/>
      <c r="H6" s="14"/>
      <c r="I6" s="9"/>
      <c r="J6" s="15"/>
      <c r="L6" s="161"/>
      <c r="M6" s="59" t="s">
        <v>8</v>
      </c>
      <c r="N6" s="173" t="s">
        <v>63</v>
      </c>
      <c r="O6" s="174"/>
      <c r="P6" s="174"/>
      <c r="Q6" s="175"/>
      <c r="R6" s="16"/>
      <c r="S6" s="16"/>
      <c r="V6" s="68"/>
    </row>
    <row r="7" spans="2:27" ht="21.75" customHeight="1">
      <c r="B7" s="13"/>
      <c r="C7" s="171" t="s">
        <v>60</v>
      </c>
      <c r="D7" s="171"/>
      <c r="E7" s="172"/>
      <c r="F7" s="172"/>
      <c r="G7" s="172"/>
      <c r="H7" s="17"/>
      <c r="I7" s="18"/>
      <c r="J7" s="19"/>
      <c r="K7" s="19"/>
      <c r="L7" s="161"/>
      <c r="M7" s="59" t="s">
        <v>9</v>
      </c>
      <c r="N7" s="169" t="s">
        <v>10</v>
      </c>
      <c r="O7" s="170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171" t="s">
        <v>58</v>
      </c>
      <c r="D8" s="171"/>
      <c r="E8" s="176"/>
      <c r="F8" s="172"/>
      <c r="G8" s="172"/>
      <c r="H8" s="22"/>
      <c r="I8" s="18"/>
      <c r="J8" s="19"/>
      <c r="K8" s="19"/>
      <c r="L8" s="162"/>
      <c r="M8" s="59" t="s">
        <v>13</v>
      </c>
      <c r="N8" s="169" t="s">
        <v>14</v>
      </c>
      <c r="O8" s="177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7" t="s">
        <v>17</v>
      </c>
      <c r="D10" s="147"/>
      <c r="E10" s="148">
        <f>O26</f>
        <v>2772000</v>
      </c>
      <c r="F10" s="148"/>
      <c r="G10" s="148"/>
      <c r="H10" s="148"/>
      <c r="I10" s="149" t="s">
        <v>18</v>
      </c>
      <c r="J10" s="149"/>
      <c r="K10" s="149"/>
      <c r="L10" s="74" t="s">
        <v>65</v>
      </c>
      <c r="M10" s="155" t="s">
        <v>66</v>
      </c>
      <c r="N10" s="156"/>
      <c r="O10" s="156" t="s">
        <v>67</v>
      </c>
      <c r="P10" s="156"/>
      <c r="Q10" s="75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150"/>
      <c r="N11" s="150"/>
      <c r="O11" s="151"/>
      <c r="P11" s="151"/>
      <c r="Q11" s="34"/>
      <c r="R11" s="16"/>
      <c r="S11" s="16"/>
      <c r="T11" s="35" t="s">
        <v>20</v>
      </c>
    </row>
    <row r="12" spans="2:27" ht="22.5" customHeight="1">
      <c r="B12" s="107" t="s">
        <v>21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T12" s="35" t="s">
        <v>22</v>
      </c>
    </row>
    <row r="13" spans="2:27" ht="22.5" customHeight="1">
      <c r="B13" s="152" t="s">
        <v>23</v>
      </c>
      <c r="C13" s="153"/>
      <c r="D13" s="152" t="s">
        <v>24</v>
      </c>
      <c r="E13" s="154"/>
      <c r="F13" s="154"/>
      <c r="G13" s="154"/>
      <c r="H13" s="154"/>
      <c r="I13" s="154"/>
      <c r="J13" s="154"/>
      <c r="K13" s="153"/>
      <c r="L13" s="36" t="s">
        <v>25</v>
      </c>
      <c r="M13" s="152" t="s">
        <v>26</v>
      </c>
      <c r="N13" s="153"/>
      <c r="O13" s="152" t="s">
        <v>27</v>
      </c>
      <c r="P13" s="153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10">
        <v>1</v>
      </c>
      <c r="C14" s="110"/>
      <c r="D14" s="141" t="s">
        <v>70</v>
      </c>
      <c r="E14" s="141"/>
      <c r="F14" s="141"/>
      <c r="G14" s="141"/>
      <c r="H14" s="141"/>
      <c r="I14" s="141"/>
      <c r="J14" s="141"/>
      <c r="K14" s="141"/>
      <c r="L14" s="38">
        <v>1</v>
      </c>
      <c r="M14" s="140">
        <v>0</v>
      </c>
      <c r="N14" s="140"/>
      <c r="O14" s="116">
        <f t="shared" ref="O14:O22" si="0">M14*L14</f>
        <v>0</v>
      </c>
      <c r="P14" s="117"/>
      <c r="Q14" s="178">
        <v>45840</v>
      </c>
      <c r="T14" s="39">
        <v>100000</v>
      </c>
      <c r="U14" s="39">
        <f>T14*L14</f>
        <v>100000</v>
      </c>
      <c r="V14" s="41">
        <f t="shared" ref="V14:V23" si="1">O14-U14</f>
        <v>-100000</v>
      </c>
      <c r="W14" s="42" t="e">
        <f t="shared" ref="W14:W24" si="2">V14/O14</f>
        <v>#DIV/0!</v>
      </c>
      <c r="X14" s="66"/>
      <c r="Y14" s="44"/>
      <c r="AA14" s="45"/>
    </row>
    <row r="15" spans="2:27" ht="33" customHeight="1">
      <c r="B15" s="110">
        <v>2</v>
      </c>
      <c r="C15" s="110"/>
      <c r="D15" s="111" t="s">
        <v>71</v>
      </c>
      <c r="E15" s="112"/>
      <c r="F15" s="112"/>
      <c r="G15" s="112"/>
      <c r="H15" s="112"/>
      <c r="I15" s="112"/>
      <c r="J15" s="112"/>
      <c r="K15" s="113"/>
      <c r="L15" s="38">
        <v>120</v>
      </c>
      <c r="M15" s="140">
        <v>21000</v>
      </c>
      <c r="N15" s="140"/>
      <c r="O15" s="116">
        <f t="shared" si="0"/>
        <v>2520000</v>
      </c>
      <c r="P15" s="117"/>
      <c r="Q15" s="178">
        <v>45840</v>
      </c>
      <c r="T15" s="39">
        <v>18400</v>
      </c>
      <c r="U15" s="40">
        <f t="shared" ref="U15:U23" si="3">L15*T15</f>
        <v>2208000</v>
      </c>
      <c r="V15" s="41">
        <f t="shared" si="1"/>
        <v>312000</v>
      </c>
      <c r="W15" s="42">
        <f t="shared" si="2"/>
        <v>0.12380952380952381</v>
      </c>
      <c r="X15" s="66"/>
      <c r="Y15" s="44"/>
      <c r="AA15" s="45"/>
    </row>
    <row r="16" spans="2:27" ht="33" customHeight="1">
      <c r="B16" s="110">
        <v>3</v>
      </c>
      <c r="C16" s="110"/>
      <c r="D16" s="111"/>
      <c r="E16" s="112"/>
      <c r="F16" s="112"/>
      <c r="G16" s="112"/>
      <c r="H16" s="112"/>
      <c r="I16" s="112"/>
      <c r="J16" s="112"/>
      <c r="K16" s="113"/>
      <c r="L16" s="38"/>
      <c r="M16" s="140"/>
      <c r="N16" s="140"/>
      <c r="O16" s="116">
        <f t="shared" si="0"/>
        <v>0</v>
      </c>
      <c r="P16" s="117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10">
        <v>4</v>
      </c>
      <c r="C17" s="110"/>
      <c r="D17" s="139"/>
      <c r="E17" s="139"/>
      <c r="F17" s="139"/>
      <c r="G17" s="139"/>
      <c r="H17" s="139"/>
      <c r="I17" s="139"/>
      <c r="J17" s="139"/>
      <c r="K17" s="139"/>
      <c r="L17" s="38"/>
      <c r="M17" s="140"/>
      <c r="N17" s="140"/>
      <c r="O17" s="116">
        <f t="shared" si="0"/>
        <v>0</v>
      </c>
      <c r="P17" s="117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10">
        <v>5</v>
      </c>
      <c r="C18" s="110"/>
      <c r="D18" s="141"/>
      <c r="E18" s="141"/>
      <c r="F18" s="141"/>
      <c r="G18" s="141"/>
      <c r="H18" s="141"/>
      <c r="I18" s="141"/>
      <c r="J18" s="141"/>
      <c r="K18" s="141"/>
      <c r="L18" s="38"/>
      <c r="M18" s="140"/>
      <c r="N18" s="140"/>
      <c r="O18" s="116">
        <f t="shared" si="0"/>
        <v>0</v>
      </c>
      <c r="P18" s="117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10">
        <v>6</v>
      </c>
      <c r="C19" s="110"/>
      <c r="D19" s="142"/>
      <c r="E19" s="143"/>
      <c r="F19" s="143"/>
      <c r="G19" s="143"/>
      <c r="H19" s="143"/>
      <c r="I19" s="143"/>
      <c r="J19" s="143"/>
      <c r="K19" s="144"/>
      <c r="L19" s="70"/>
      <c r="M19" s="145"/>
      <c r="N19" s="146"/>
      <c r="O19" s="116">
        <f t="shared" si="0"/>
        <v>0</v>
      </c>
      <c r="P19" s="117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10">
        <v>7</v>
      </c>
      <c r="C20" s="110"/>
      <c r="D20" s="111"/>
      <c r="E20" s="112"/>
      <c r="F20" s="112"/>
      <c r="G20" s="112"/>
      <c r="H20" s="112"/>
      <c r="I20" s="112"/>
      <c r="J20" s="112"/>
      <c r="K20" s="113"/>
      <c r="L20" s="38"/>
      <c r="M20" s="114"/>
      <c r="N20" s="115"/>
      <c r="O20" s="116">
        <f t="shared" si="0"/>
        <v>0</v>
      </c>
      <c r="P20" s="117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10">
        <v>8</v>
      </c>
      <c r="C21" s="110"/>
      <c r="D21" s="111"/>
      <c r="E21" s="112"/>
      <c r="F21" s="112"/>
      <c r="G21" s="112"/>
      <c r="H21" s="112"/>
      <c r="I21" s="112"/>
      <c r="J21" s="112"/>
      <c r="K21" s="113"/>
      <c r="L21" s="38"/>
      <c r="M21" s="114"/>
      <c r="N21" s="115"/>
      <c r="O21" s="116">
        <f t="shared" si="0"/>
        <v>0</v>
      </c>
      <c r="P21" s="117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10">
        <v>9</v>
      </c>
      <c r="C22" s="110"/>
      <c r="D22" s="111"/>
      <c r="E22" s="112"/>
      <c r="F22" s="112"/>
      <c r="G22" s="112"/>
      <c r="H22" s="112"/>
      <c r="I22" s="112"/>
      <c r="J22" s="112"/>
      <c r="K22" s="113"/>
      <c r="L22" s="38"/>
      <c r="M22" s="114"/>
      <c r="N22" s="115"/>
      <c r="O22" s="116">
        <f t="shared" si="0"/>
        <v>0</v>
      </c>
      <c r="P22" s="117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10">
        <v>10</v>
      </c>
      <c r="C23" s="110"/>
      <c r="D23" s="111"/>
      <c r="E23" s="112"/>
      <c r="F23" s="112"/>
      <c r="G23" s="112"/>
      <c r="H23" s="112"/>
      <c r="I23" s="112"/>
      <c r="J23" s="112"/>
      <c r="K23" s="113"/>
      <c r="L23" s="38"/>
      <c r="M23" s="114"/>
      <c r="N23" s="115"/>
      <c r="O23" s="116">
        <f>M23*L23</f>
        <v>0</v>
      </c>
      <c r="P23" s="117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18" t="s">
        <v>34</v>
      </c>
      <c r="C24" s="119"/>
      <c r="D24" s="124" t="s">
        <v>62</v>
      </c>
      <c r="E24" s="125"/>
      <c r="F24" s="125"/>
      <c r="G24" s="125"/>
      <c r="H24" s="125"/>
      <c r="I24" s="125" t="s">
        <v>35</v>
      </c>
      <c r="J24" s="125"/>
      <c r="K24" s="125"/>
      <c r="L24" s="126"/>
      <c r="M24" s="127" t="s">
        <v>36</v>
      </c>
      <c r="N24" s="128"/>
      <c r="O24" s="129">
        <f>SUM(O14:P23)</f>
        <v>2520000</v>
      </c>
      <c r="P24" s="130"/>
      <c r="Q24" s="48"/>
      <c r="T24" s="39">
        <f>SUM(T14:T23)</f>
        <v>118400</v>
      </c>
      <c r="U24" s="39">
        <f>SUM(U14:U23)</f>
        <v>2308000</v>
      </c>
      <c r="V24" s="39">
        <f>SUM(V14:V23)</f>
        <v>212000</v>
      </c>
      <c r="W24" s="42">
        <f t="shared" si="2"/>
        <v>8.4126984126984133E-2</v>
      </c>
      <c r="X24" s="43"/>
      <c r="Y24" s="44"/>
    </row>
    <row r="25" spans="2:25" ht="21" customHeight="1">
      <c r="B25" s="120"/>
      <c r="C25" s="121"/>
      <c r="D25" s="131" t="s">
        <v>59</v>
      </c>
      <c r="E25" s="132"/>
      <c r="F25" s="132"/>
      <c r="G25" s="132"/>
      <c r="H25" s="132"/>
      <c r="I25" s="132"/>
      <c r="J25" s="132"/>
      <c r="K25" s="132"/>
      <c r="L25" s="133"/>
      <c r="M25" s="127" t="s">
        <v>37</v>
      </c>
      <c r="N25" s="128"/>
      <c r="O25" s="137">
        <f>O24*0.1</f>
        <v>252000</v>
      </c>
      <c r="P25" s="138"/>
      <c r="Q25" s="48"/>
      <c r="Y25" s="44"/>
    </row>
    <row r="26" spans="2:25" ht="21" customHeight="1">
      <c r="B26" s="122"/>
      <c r="C26" s="123"/>
      <c r="D26" s="134"/>
      <c r="E26" s="135"/>
      <c r="F26" s="135"/>
      <c r="G26" s="135"/>
      <c r="H26" s="135"/>
      <c r="I26" s="135"/>
      <c r="J26" s="135"/>
      <c r="K26" s="135"/>
      <c r="L26" s="136"/>
      <c r="M26" s="127" t="s">
        <v>38</v>
      </c>
      <c r="N26" s="128"/>
      <c r="O26" s="137">
        <f>SUM(O24:P25)</f>
        <v>2772000</v>
      </c>
      <c r="P26" s="138"/>
      <c r="Q26" s="48"/>
      <c r="W26" s="45"/>
      <c r="X26" s="49"/>
    </row>
    <row r="27" spans="2:25" ht="6.75" customHeight="1"/>
    <row r="28" spans="2:25" ht="6.75" customHeight="1"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2:25" ht="13.5" customHeight="1"/>
    <row r="30" spans="2:25" ht="12.75" customHeight="1">
      <c r="B30" s="106" t="s">
        <v>39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</row>
    <row r="31" spans="2:25" ht="6.75" customHeight="1"/>
    <row r="32" spans="2:25" ht="22.5" customHeight="1">
      <c r="B32" s="107" t="s">
        <v>40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9"/>
      <c r="V32" s="50"/>
      <c r="W32" s="50"/>
    </row>
    <row r="33" spans="1:23" s="51" customFormat="1" ht="25.5" customHeight="1">
      <c r="B33" s="82" t="s">
        <v>41</v>
      </c>
      <c r="C33" s="83"/>
      <c r="D33" s="83"/>
      <c r="E33" s="84"/>
      <c r="F33" s="88"/>
      <c r="G33" s="89"/>
      <c r="H33" s="90"/>
      <c r="I33" s="82" t="s">
        <v>42</v>
      </c>
      <c r="J33" s="83"/>
      <c r="K33" s="88"/>
      <c r="L33" s="89"/>
      <c r="M33" s="90"/>
      <c r="N33" s="82" t="s">
        <v>43</v>
      </c>
      <c r="O33" s="84"/>
      <c r="P33" s="85"/>
      <c r="Q33" s="87"/>
      <c r="W33" s="52"/>
    </row>
    <row r="34" spans="1:23" s="51" customFormat="1" ht="25.5" customHeight="1">
      <c r="B34" s="82" t="s">
        <v>44</v>
      </c>
      <c r="C34" s="83"/>
      <c r="D34" s="83"/>
      <c r="E34" s="84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W34" s="53"/>
    </row>
    <row r="35" spans="1:23" s="51" customFormat="1" ht="25.5" customHeight="1">
      <c r="B35" s="82" t="s">
        <v>45</v>
      </c>
      <c r="C35" s="83"/>
      <c r="D35" s="83"/>
      <c r="E35" s="84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</row>
    <row r="36" spans="1:23" ht="25.5" customHeight="1">
      <c r="B36" s="82" t="s">
        <v>46</v>
      </c>
      <c r="C36" s="83"/>
      <c r="D36" s="83"/>
      <c r="E36" s="84"/>
      <c r="F36" s="88"/>
      <c r="G36" s="89"/>
      <c r="H36" s="89"/>
      <c r="I36" s="89"/>
      <c r="J36" s="90"/>
      <c r="K36" s="91" t="s">
        <v>47</v>
      </c>
      <c r="L36" s="92"/>
      <c r="M36" s="93"/>
      <c r="N36" s="89"/>
      <c r="O36" s="89"/>
      <c r="P36" s="89"/>
      <c r="Q36" s="90"/>
    </row>
    <row r="37" spans="1:23" ht="25.5" customHeight="1">
      <c r="B37" s="94" t="s">
        <v>48</v>
      </c>
      <c r="C37" s="95"/>
      <c r="D37" s="96"/>
      <c r="E37" s="100" t="s">
        <v>49</v>
      </c>
      <c r="F37" s="101"/>
      <c r="G37" s="102"/>
      <c r="H37" s="103"/>
      <c r="I37" s="103"/>
      <c r="J37" s="103"/>
      <c r="K37" s="104"/>
      <c r="L37" s="82" t="s">
        <v>50</v>
      </c>
      <c r="M37" s="84"/>
      <c r="N37" s="85"/>
      <c r="O37" s="86"/>
      <c r="P37" s="86"/>
      <c r="Q37" s="87"/>
    </row>
    <row r="38" spans="1:23" ht="25.5" customHeight="1">
      <c r="B38" s="97"/>
      <c r="C38" s="98"/>
      <c r="D38" s="99"/>
      <c r="E38" s="82" t="s">
        <v>51</v>
      </c>
      <c r="F38" s="84"/>
      <c r="G38" s="85"/>
      <c r="H38" s="86"/>
      <c r="I38" s="86"/>
      <c r="J38" s="86"/>
      <c r="K38" s="86"/>
      <c r="L38" s="86"/>
      <c r="M38" s="86"/>
      <c r="N38" s="86"/>
      <c r="O38" s="86"/>
      <c r="P38" s="86"/>
      <c r="Q38" s="87"/>
    </row>
    <row r="39" spans="1:23" ht="15" customHeight="1"/>
    <row r="40" spans="1:23" ht="12.75" customHeight="1">
      <c r="B40" s="76" t="s">
        <v>52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76"/>
      <c r="C42" s="76"/>
      <c r="D42" s="76"/>
      <c r="E42" s="76"/>
      <c r="F42" s="76"/>
      <c r="G42" s="76"/>
      <c r="H42" s="77" t="s">
        <v>53</v>
      </c>
      <c r="I42" s="77"/>
      <c r="J42" s="77"/>
      <c r="K42" s="77"/>
      <c r="L42" s="77"/>
      <c r="M42" s="77"/>
      <c r="N42" s="78" t="s">
        <v>54</v>
      </c>
      <c r="O42" s="78"/>
      <c r="P42" s="78"/>
      <c r="Q42" s="78"/>
    </row>
    <row r="43" spans="1:23" ht="30" customHeight="1">
      <c r="B43" s="79"/>
      <c r="C43" s="79"/>
      <c r="D43" s="80"/>
      <c r="E43" s="80"/>
      <c r="F43" s="80"/>
      <c r="G43" s="80"/>
      <c r="H43" s="80"/>
      <c r="I43" s="80"/>
      <c r="J43" s="80"/>
      <c r="K43" s="80"/>
      <c r="L43" s="54"/>
      <c r="M43" s="81"/>
      <c r="N43" s="81"/>
      <c r="O43" s="81"/>
      <c r="P43" s="81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05D300FE-C402-4E72-9646-C45C37FBD1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