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" documentId="11_B1B4F7044AA10719AA491C338842ACD022B32CD9" xr6:coauthVersionLast="47" xr6:coauthVersionMax="47" xr10:uidLastSave="{33C03475-5ABB-4013-AC13-E328735B8A5F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U24" i="1" s="1"/>
  <c r="O15" i="1"/>
  <c r="O24" i="1" s="1"/>
  <c r="W14" i="1"/>
  <c r="V14" i="1"/>
  <c r="U14" i="1"/>
  <c r="O14" i="1"/>
  <c r="O25" i="1" l="1"/>
  <c r="O26" i="1" s="1"/>
  <c r="E10" i="1" s="1"/>
  <c r="V15" i="1"/>
  <c r="W15" i="1" s="1"/>
  <c r="V24" i="1" l="1"/>
  <c r="W24" i="1" s="1"/>
</calcChain>
</file>

<file path=xl/sharedStrings.xml><?xml version="1.0" encoding="utf-8"?>
<sst xmlns="http://schemas.openxmlformats.org/spreadsheetml/2006/main" count="71" uniqueCount="71">
  <si>
    <t xml:space="preserve"> *   견 적 서   *</t>
  </si>
  <si>
    <t>견적일자</t>
  </si>
  <si>
    <t>공
급
자</t>
  </si>
  <si>
    <t>상  호</t>
  </si>
  <si>
    <t>큐브렉스</t>
  </si>
  <si>
    <t>거스트앤게일 - 오르카시스템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</si>
  <si>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</si>
  <si>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</si>
  <si>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</si>
  <si>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</si>
  <si>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</si>
  <si>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</si>
  <si>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</si>
  <si>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</si>
  <si>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</si>
  <si>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</si>
  <si>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</si>
  <si>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</si>
  <si>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</si>
  <si>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</si>
  <si>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</si>
  <si>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</si>
  <si>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</si>
  <si>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</si>
  <si>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</si>
  <si>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</si>
  <si>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</si>
  <si>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</si>
  <si>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</si>
  <si>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</si>
  <si>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</si>
  <si>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</si>
  <si>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</si>
  <si>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</si>
  <si>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</si>
  <si>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</si>
  <si>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</si>
  <si>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</si>
  <si>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</si>
  <si>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</si>
  <si>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</si>
  <si>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</si>
  <si>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</si>
  <si>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</si>
  <si>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</si>
  <si>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Phoenix (annual)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</si>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</sst>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C4" sqref="C4:F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45880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1339800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3</v>
      </c>
      <c r="M14" s="100">
        <v>406000</v>
      </c>
      <c r="N14" s="80"/>
      <c r="O14" s="87">
        <f t="shared" ref="O14:O23" si="0">M14*L14</f>
        <v>1218000</v>
      </c>
      <c r="P14" s="86"/>
      <c r="Q14" s="64"/>
      <c r="T14" s="39">
        <v>393000</v>
      </c>
      <c r="U14" s="39">
        <f>T14*L14</f>
        <v>1179000</v>
      </c>
      <c r="V14" s="41">
        <f t="shared" ref="V14:V23" si="1">O14-U14</f>
        <v>39000</v>
      </c>
      <c r="W14" s="42">
        <f t="shared" ref="W14:W24" si="2">V14/O14</f>
        <v>3.2019704433497539E-2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1218000</v>
      </c>
      <c r="P24" s="86"/>
      <c r="Q24" s="48"/>
      <c r="T24" s="39">
        <f>SUM(T14:T23)</f>
        <v>393000</v>
      </c>
      <c r="U24" s="39">
        <f>SUM(U14:U23)</f>
        <v>1179000</v>
      </c>
      <c r="V24" s="39">
        <f>SUM(V14:V23)</f>
        <v>39000</v>
      </c>
      <c r="W24" s="42">
        <f t="shared" si="2"/>
        <v>3.2019704433497539E-2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121800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1339800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B7B499-365F-4AA5-99D9-3AF0E1BE1716}"/>
</file>

<file path=customXml/itemProps2.xml><?xml version="1.0" encoding="utf-8"?>
<ds:datastoreItem xmlns:ds="http://schemas.openxmlformats.org/officeDocument/2006/customXml" ds:itemID="{2AAD95D1-8ABF-4390-B070-CA0D83C69B2C}"/>
</file>

<file path=customXml/itemProps3.xml><?xml version="1.0" encoding="utf-8"?>
<ds:datastoreItem xmlns:ds="http://schemas.openxmlformats.org/officeDocument/2006/customXml" ds:itemID="{AEC7C3E6-4309-4BB5-A756-85E0CE1382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2025-08-11T03:52:28Z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