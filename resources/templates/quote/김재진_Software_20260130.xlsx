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58C037A7AD10BE8C21FB271E6DC722EF80ED5D48" xr6:coauthVersionLast="47" xr6:coauthVersionMax="47" xr10:uidLastSave="{64CB9292-B09E-4152-B7D3-BD7F4D9E69B6}"/>
  <bookViews>
    <workbookView xWindow="-98" yWindow="-98" windowWidth="21795" windowHeight="12975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O24" i="1"/>
  <c r="W23" i="1"/>
  <c r="V23" i="1"/>
  <c r="U23" i="1"/>
  <c r="O23" i="1"/>
  <c r="V22" i="1"/>
  <c r="W22" i="1" s="1"/>
  <c r="U22" i="1"/>
  <c r="O22" i="1"/>
  <c r="V21" i="1"/>
  <c r="W21" i="1" s="1"/>
  <c r="U21" i="1"/>
  <c r="O21" i="1"/>
  <c r="V20" i="1"/>
  <c r="W20" i="1" s="1"/>
  <c r="U20" i="1"/>
  <c r="O20" i="1"/>
  <c r="V19" i="1"/>
  <c r="W19" i="1" s="1"/>
  <c r="U19" i="1"/>
  <c r="O19" i="1"/>
  <c r="V18" i="1"/>
  <c r="W18" i="1" s="1"/>
  <c r="U18" i="1"/>
  <c r="O18" i="1"/>
  <c r="W17" i="1"/>
  <c r="V17" i="1"/>
  <c r="U17" i="1"/>
  <c r="O17" i="1"/>
  <c r="V16" i="1"/>
  <c r="W16" i="1" s="1"/>
  <c r="U16" i="1"/>
  <c r="O16" i="1"/>
  <c r="V15" i="1"/>
  <c r="V24" i="1" s="1"/>
  <c r="W24" i="1" s="1"/>
  <c r="U15" i="1"/>
  <c r="O15" i="1"/>
  <c r="W14" i="1"/>
  <c r="V14" i="1"/>
  <c r="U14" i="1"/>
  <c r="O14" i="1"/>
  <c r="W15" i="1" l="1"/>
  <c r="O25" i="1"/>
  <c r="O26" i="1" s="1"/>
  <c r="E10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<sst xmlns="http://schemas.openxmlformats.org/spreadsheetml/2006/main" count="72" uniqueCount="72">
  <si>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</si>
  <si>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</si>
  <si>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</si>
  <si>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</si>
  <si>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</si>
  <si>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김재진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</si>
  <si>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</si>
  <si>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</si>
  <si>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</si>
  <si>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</si>
  <si>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</si>
  <si>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</si>
  <si>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</si>
  <si>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</si>
  <si>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</si>
  <si>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</si>
  <si>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</si>
  <si>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</si>
  <si>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</si>
  <si>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</si>
  <si>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</si>
  <si>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</si>
  <si>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</si>
  <si>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</si>
  <si>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</si>
  <si>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</si>
  <si>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</si>
  <si>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</si>
  <si>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</si>
  <si>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</si>
  <si>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</si>
  <si>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</si>
  <si>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</si>
  <si>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</si>
  <si>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</si>
  <si>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</si>
  <si>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</si>
  <si>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</si>
  <si>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</si>
  <si>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</si>
  <si>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</si>
  <si>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</si>
  <si>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</si>
  <si>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</si>
  <si>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</si>
  <si>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NukeX Maintenance RLM - Renewal</t>
  </si>
  <si>
    <t>2027-02-09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</si>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</sst>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46052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3960000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3600000</v>
      </c>
      <c r="N14" s="80"/>
      <c r="O14" s="87">
        <f t="shared" ref="O14:O23" si="0">M14*L14</f>
        <v>3600000</v>
      </c>
      <c r="P14" s="86"/>
      <c r="Q14" s="64" t="s">
        <v>46</v>
      </c>
      <c r="T14" s="39">
        <v>3218920</v>
      </c>
      <c r="U14" s="39">
        <f>T14*L14</f>
        <v>3218920</v>
      </c>
      <c r="V14" s="41">
        <f t="shared" ref="V14:V23" si="1">O14-U14</f>
        <v>381080</v>
      </c>
      <c r="W14" s="42">
        <f t="shared" ref="W14:W24" si="2">V14/O14</f>
        <v>0.10585555555555555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47</v>
      </c>
      <c r="C24" s="112"/>
      <c r="D24" s="149" t="s">
        <v>48</v>
      </c>
      <c r="E24" s="130"/>
      <c r="F24" s="130"/>
      <c r="G24" s="130"/>
      <c r="H24" s="130"/>
      <c r="I24" s="129" t="s">
        <v>49</v>
      </c>
      <c r="J24" s="130"/>
      <c r="K24" s="130"/>
      <c r="L24" s="131"/>
      <c r="M24" s="103" t="s">
        <v>50</v>
      </c>
      <c r="N24" s="86"/>
      <c r="O24" s="144">
        <f>SUM(O14:P23)</f>
        <v>3600000</v>
      </c>
      <c r="P24" s="86"/>
      <c r="Q24" s="48"/>
      <c r="T24" s="39">
        <f>SUM(T14:T23)</f>
        <v>3218920</v>
      </c>
      <c r="U24" s="39">
        <f>SUM(U14:U23)</f>
        <v>3218920</v>
      </c>
      <c r="V24" s="39">
        <f>SUM(V14:V23)</f>
        <v>381080</v>
      </c>
      <c r="W24" s="42">
        <f t="shared" si="2"/>
        <v>0.10585555555555555</v>
      </c>
      <c r="X24" s="43"/>
      <c r="Y24" s="44"/>
    </row>
    <row r="25" spans="2:25" ht="21" customHeight="1" x14ac:dyDescent="0.45">
      <c r="B25" s="147"/>
      <c r="C25" s="148"/>
      <c r="D25" s="140" t="s">
        <v>51</v>
      </c>
      <c r="E25" s="83"/>
      <c r="F25" s="83"/>
      <c r="G25" s="83"/>
      <c r="H25" s="83"/>
      <c r="I25" s="83"/>
      <c r="J25" s="83"/>
      <c r="K25" s="83"/>
      <c r="L25" s="141"/>
      <c r="M25" s="103" t="s">
        <v>52</v>
      </c>
      <c r="N25" s="86"/>
      <c r="O25" s="97">
        <f>O24*0.1</f>
        <v>360000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53</v>
      </c>
      <c r="N26" s="86"/>
      <c r="O26" s="97">
        <f>SUM(O24:P25)</f>
        <v>3960000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56</v>
      </c>
      <c r="C33" s="89"/>
      <c r="D33" s="89"/>
      <c r="E33" s="86"/>
      <c r="F33" s="78"/>
      <c r="G33" s="79"/>
      <c r="H33" s="80"/>
      <c r="I33" s="126" t="s">
        <v>57</v>
      </c>
      <c r="J33" s="89"/>
      <c r="K33" s="78"/>
      <c r="L33" s="79"/>
      <c r="M33" s="80"/>
      <c r="N33" s="88" t="s">
        <v>58</v>
      </c>
      <c r="O33" s="86"/>
      <c r="P33" s="118"/>
      <c r="Q33" s="80"/>
      <c r="W33" s="52"/>
    </row>
    <row r="34" spans="1:23" s="51" customFormat="1" ht="25.5" customHeight="1" x14ac:dyDescent="0.45">
      <c r="B34" s="88" t="s">
        <v>59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60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61</v>
      </c>
      <c r="C36" s="89"/>
      <c r="D36" s="89"/>
      <c r="E36" s="86"/>
      <c r="F36" s="78"/>
      <c r="G36" s="79"/>
      <c r="H36" s="79"/>
      <c r="I36" s="79"/>
      <c r="J36" s="80"/>
      <c r="K36" s="116" t="s">
        <v>62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63</v>
      </c>
      <c r="C37" s="111"/>
      <c r="D37" s="112"/>
      <c r="E37" s="151" t="s">
        <v>64</v>
      </c>
      <c r="F37" s="86"/>
      <c r="G37" s="125"/>
      <c r="H37" s="79"/>
      <c r="I37" s="79"/>
      <c r="J37" s="79"/>
      <c r="K37" s="80"/>
      <c r="L37" s="88" t="s">
        <v>65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66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67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68</v>
      </c>
      <c r="I42" s="83"/>
      <c r="J42" s="83"/>
      <c r="K42" s="83"/>
      <c r="L42" s="83"/>
      <c r="M42" s="83"/>
      <c r="N42" s="127" t="s">
        <v>69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71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F155BC-4719-4015-B004-8C4A72373A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CCF1EA-FE09-4428-93DC-94729E7DC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FDDF9A-D1ED-4465-9F8A-3E9F79FAE37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2026-01-30T04:14:56Z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