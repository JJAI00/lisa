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0" documentId="8_{A11F9E0A-2CE1-4311-B9BC-C8AA23C97179}" xr6:coauthVersionLast="47" xr6:coauthVersionMax="47" xr10:uidLastSave="{00000000-0000-0000-0000-000000000000}"/>
  <bookViews>
    <workbookView xWindow="2573" yWindow="2573" windowWidth="16199" windowHeight="9307" xr2:uid="{D7EB4058-C36A-4A39-9A47-407FE33FCCE8}"/>
  </bookViews>
  <sheets>
    <sheet name="1" sheetId="8" r:id="rId1"/>
  </sheets>
  <definedNames>
    <definedName name="_xlnm.Print_Area" localSheetId="0">'1'!$A$1:$R$49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8" l="1"/>
  <c r="O15" i="8"/>
  <c r="O16" i="8"/>
  <c r="O17" i="8"/>
  <c r="O18" i="8"/>
  <c r="O19" i="8"/>
  <c r="O20" i="8"/>
  <c r="O21" i="8"/>
  <c r="O22" i="8"/>
  <c r="V21" i="8"/>
  <c r="W21" i="8" s="1"/>
  <c r="U14" i="8"/>
  <c r="U15" i="8"/>
  <c r="V15" i="8" s="1"/>
  <c r="W15" i="8" s="1"/>
  <c r="U16" i="8"/>
  <c r="V16" i="8"/>
  <c r="W16" i="8" s="1"/>
  <c r="U17" i="8"/>
  <c r="U18" i="8"/>
  <c r="V18" i="8" s="1"/>
  <c r="W18" i="8" s="1"/>
  <c r="U19" i="8"/>
  <c r="V19" i="8"/>
  <c r="W19" i="8" s="1"/>
  <c r="U20" i="8"/>
  <c r="V20" i="8"/>
  <c r="W20" i="8" s="1"/>
  <c r="U21" i="8"/>
  <c r="U22" i="8"/>
  <c r="O23" i="8"/>
  <c r="U23" i="8"/>
  <c r="V23" i="8"/>
  <c r="W23" i="8"/>
  <c r="T24" i="8"/>
  <c r="V17" i="8" l="1"/>
  <c r="W17" i="8" s="1"/>
  <c r="V14" i="8"/>
  <c r="W14" i="8" s="1"/>
  <c r="V22" i="8"/>
  <c r="W22" i="8" s="1"/>
  <c r="O24" i="8"/>
  <c r="U24" i="8"/>
  <c r="V24" i="8" l="1"/>
  <c r="W24" i="8" s="1"/>
  <c r="O25" i="8"/>
  <c r="O26" i="8" s="1"/>
  <c r="E10" i="8" s="1"/>
</calcChain>
</file>

<file path=xl/sharedStrings.xml><?xml version="1.0" encoding="utf-8"?>
<sst xmlns="http://schemas.openxmlformats.org/spreadsheetml/2006/main" count="77" uniqueCount="76">
  <si>
    <t>견적일자</t>
  </si>
  <si>
    <t>공
급
자</t>
  </si>
  <si>
    <t>상  호</t>
  </si>
  <si>
    <t>귀중</t>
  </si>
  <si>
    <t>사업자번호</t>
  </si>
  <si>
    <t>120-87-07477</t>
  </si>
  <si>
    <t>대 표 자</t>
  </si>
  <si>
    <t>김민용</t>
  </si>
  <si>
    <t>사업장소재</t>
  </si>
  <si>
    <t>업  태</t>
  </si>
  <si>
    <t>서비스</t>
  </si>
  <si>
    <t>종  목</t>
  </si>
  <si>
    <t>소프트웨어개발자문 및 공급</t>
  </si>
  <si>
    <t>전  화</t>
  </si>
  <si>
    <t>02-561-1770</t>
  </si>
  <si>
    <t>F A X</t>
  </si>
  <si>
    <t>02-561-1787</t>
  </si>
  <si>
    <t>견적총액</t>
  </si>
  <si>
    <t>(부가세 포함)</t>
    <phoneticPr fontId="2" type="noConversion"/>
  </si>
  <si>
    <t>* 폐사와 거래에 감사드리며, 하기와 같이 견적드립니다.</t>
  </si>
  <si>
    <t>기존 견적서와 서식이 동일하게 적용된 양식입니다.</t>
    <phoneticPr fontId="2" type="noConversion"/>
  </si>
  <si>
    <t>Order Detail</t>
  </si>
  <si>
    <t xml:space="preserve">매출단가 / 매입단가를 입력하면 합계액,이익,이익율이 자동 계산됩니다. </t>
    <phoneticPr fontId="2" type="noConversion"/>
  </si>
  <si>
    <t>No</t>
  </si>
  <si>
    <t>Product</t>
  </si>
  <si>
    <t>Q'ty</t>
  </si>
  <si>
    <t>단가</t>
  </si>
  <si>
    <t>합계</t>
  </si>
  <si>
    <t>비고</t>
  </si>
  <si>
    <t>매입단가</t>
    <phoneticPr fontId="2" type="noConversion"/>
  </si>
  <si>
    <t>매입합계</t>
    <phoneticPr fontId="2" type="noConversion"/>
  </si>
  <si>
    <t>이익</t>
    <phoneticPr fontId="2" type="noConversion"/>
  </si>
  <si>
    <t>이익률</t>
    <phoneticPr fontId="2" type="noConversion"/>
  </si>
  <si>
    <t>매입처</t>
    <phoneticPr fontId="2" type="noConversion"/>
  </si>
  <si>
    <t>견적
참고
사항</t>
  </si>
  <si>
    <t>* 납품 기일 : 발주 후 3 영업일 이내</t>
  </si>
  <si>
    <t>공급가액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</si>
  <si>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</si>
  <si>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</si>
  <si>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</si>
  <si>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</si>
  <si>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</si>
  <si>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</si>
  <si>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</si>
  <si>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</si>
  <si>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</si>
  <si>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</si>
  <si>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</si>
  <si>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</si>
  <si>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</si>
  <si>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</si>
  <si>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</si>
  <si>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</si>
  <si>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</si>
  <si>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</si>
  <si>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</si>
  <si>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</si>
  <si>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 xml:space="preserve"> *   견 적 서   *</t>
    <phoneticPr fontId="2" type="noConversion"/>
  </si>
  <si>
    <t>이메일</t>
    <phoneticPr fontId="2" type="noConversion"/>
  </si>
  <si>
    <t xml:space="preserve"> - 견적 유효 기간 2주일.</t>
    <phoneticPr fontId="2" type="noConversion"/>
  </si>
  <si>
    <t>연락처</t>
    <phoneticPr fontId="2" type="noConversion"/>
  </si>
  <si>
    <t xml:space="preserve">담 당 자 </t>
    <phoneticPr fontId="2" type="noConversion"/>
  </si>
  <si>
    <t>* 지급 조건 : 익월 말 현금</t>
    <phoneticPr fontId="2" type="noConversion"/>
  </si>
  <si>
    <t>서울시 성동구 연무장5가길 7 현대테라스타워 w904호</t>
    <phoneticPr fontId="2" type="noConversion"/>
  </si>
  <si>
    <t>큐브렉스</t>
  </si>
  <si>
    <t>담당자</t>
  </si>
  <si>
    <t>김한경 팀장</t>
  </si>
  <si>
    <t>010-3163-0955</t>
  </si>
  <si>
    <t>kimhk@qvrex.co.kr</t>
    <phoneticPr fontId="2" type="noConversion"/>
  </si>
  <si>
    <t>네비웍스</t>
  </si>
  <si>
    <t>AhnLab EPP Management_ESP</t>
  </si>
  <si>
    <t>-</t>
  </si>
  <si>
    <t>V3 Internet Security 9.0_ESP</t>
  </si>
  <si>
    <t>V3 Net for Windows Server 9.0_ESP</t>
  </si>
  <si>
    <t>Unity Industry - New</t>
  </si>
  <si>
    <t>Microsoft 365 E5_1Month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</si>
</sst>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-[$₩-412]* #,##0_-;\-[$₩-412]* #,##0_-;_-[$₩-412]* &quot;-&quot;??_-;_-@_-"/>
    <numFmt numFmtId="177" formatCode="0_);[Red]\(0\)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Fill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7" fontId="20" fillId="0" borderId="10" xfId="0" applyNumberFormat="1" applyFont="1" applyBorder="1" applyAlignment="1" applyProtection="1">
      <alignment horizontal="center" vertical="center"/>
      <protection locked="0"/>
    </xf>
    <xf numFmtId="41" fontId="20" fillId="0" borderId="10" xfId="1" applyFont="1" applyFill="1" applyBorder="1" applyAlignment="1" applyProtection="1">
      <alignment vertical="center"/>
      <protection locked="0"/>
    </xf>
    <xf numFmtId="41" fontId="20" fillId="0" borderId="9" xfId="1" applyFont="1" applyFill="1" applyBorder="1" applyAlignment="1" applyProtection="1">
      <alignment vertical="center"/>
      <protection locked="0"/>
    </xf>
    <xf numFmtId="41" fontId="20" fillId="0" borderId="12" xfId="1" applyFont="1" applyFill="1" applyBorder="1" applyAlignment="1" applyProtection="1">
      <alignment vertical="center"/>
      <protection locked="0"/>
    </xf>
    <xf numFmtId="10" fontId="13" fillId="0" borderId="10" xfId="2" applyNumberFormat="1" applyFont="1" applyFill="1" applyBorder="1" applyAlignment="1" applyProtection="1">
      <alignment horizontal="center" vertical="center"/>
      <protection locked="0"/>
    </xf>
    <xf numFmtId="9" fontId="20" fillId="0" borderId="9" xfId="1" applyNumberFormat="1" applyFont="1" applyFill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 applyProtection="1">
      <alignment vertical="center"/>
    </xf>
    <xf numFmtId="41" fontId="6" fillId="0" borderId="10" xfId="1" applyFont="1" applyFill="1" applyBorder="1" applyAlignment="1" applyProtection="1">
      <alignment horizontal="center" vertical="center"/>
      <protection locked="0"/>
    </xf>
    <xf numFmtId="24" fontId="20" fillId="0" borderId="9" xfId="1" applyNumberFormat="1" applyFont="1" applyFill="1" applyBorder="1" applyAlignment="1" applyProtection="1">
      <alignment vertical="center"/>
      <protection locked="0"/>
    </xf>
    <xf numFmtId="41" fontId="6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 applyProtection="1">
      <alignment horizontal="left" vertical="center"/>
    </xf>
    <xf numFmtId="41" fontId="0" fillId="0" borderId="0" xfId="0" applyNumberFormat="1" applyAlignment="1">
      <alignment horizontal="left" vertical="center"/>
    </xf>
    <xf numFmtId="177" fontId="20" fillId="0" borderId="0" xfId="0" applyNumberFormat="1" applyFont="1" applyAlignment="1">
      <alignment horizontal="center" vertical="center"/>
    </xf>
    <xf numFmtId="41" fontId="6" fillId="0" borderId="0" xfId="1" applyFont="1" applyBorder="1" applyProtection="1">
      <alignment vertical="center"/>
    </xf>
    <xf numFmtId="0" fontId="5" fillId="0" borderId="0" xfId="3" applyProtection="1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10" xfId="1" applyFont="1" applyFill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9" xfId="1" applyNumberFormat="1" applyFont="1" applyFill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41" fontId="0" fillId="0" borderId="0" xfId="1" applyFont="1">
      <alignment vertical="center"/>
    </xf>
    <xf numFmtId="24" fontId="0" fillId="0" borderId="0" xfId="0" applyNumberFormat="1">
      <alignment vertical="center"/>
    </xf>
    <xf numFmtId="177" fontId="20" fillId="0" borderId="6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10" xfId="0" applyFont="1" applyBorder="1" applyAlignment="1" applyProtection="1">
      <alignment horizontal="center" vertical="center" wrapText="1" shrinkToFit="1"/>
      <protection locked="0"/>
    </xf>
    <xf numFmtId="0" fontId="13" fillId="0" borderId="9" xfId="0" applyFont="1" applyBorder="1" applyAlignment="1" applyProtection="1">
      <alignment horizontal="center" vertical="center" shrinkToFit="1"/>
      <protection locked="0"/>
    </xf>
    <xf numFmtId="0" fontId="21" fillId="0" borderId="0" xfId="0" applyFo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1" fontId="20" fillId="0" borderId="0" xfId="1" applyFont="1" applyFill="1" applyBorder="1" applyAlignment="1" applyProtection="1">
      <alignment horizontal="center" vertical="center"/>
    </xf>
    <xf numFmtId="0" fontId="19" fillId="4" borderId="8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/>
    </xf>
    <xf numFmtId="0" fontId="6" fillId="0" borderId="8" xfId="0" applyFont="1" applyBorder="1" applyAlignment="1" applyProtection="1">
      <alignment horizontal="left" vertical="center" indent="1"/>
      <protection locked="0"/>
    </xf>
    <xf numFmtId="0" fontId="6" fillId="0" borderId="12" xfId="0" applyFont="1" applyBorder="1" applyAlignment="1" applyProtection="1">
      <alignment horizontal="left" vertical="center" indent="1"/>
      <protection locked="0"/>
    </xf>
    <xf numFmtId="0" fontId="6" fillId="0" borderId="9" xfId="0" applyFont="1" applyBorder="1" applyAlignment="1" applyProtection="1">
      <alignment horizontal="left" vertical="center" indent="1"/>
      <protection locked="0"/>
    </xf>
    <xf numFmtId="0" fontId="19" fillId="0" borderId="8" xfId="0" applyFont="1" applyBorder="1" applyProtection="1">
      <alignment vertical="center"/>
      <protection locked="0"/>
    </xf>
    <xf numFmtId="0" fontId="19" fillId="0" borderId="12" xfId="0" applyFont="1" applyBorder="1" applyProtection="1">
      <alignment vertical="center"/>
      <protection locked="0"/>
    </xf>
    <xf numFmtId="0" fontId="19" fillId="0" borderId="9" xfId="0" applyFont="1" applyBorder="1" applyProtection="1">
      <alignment vertical="center"/>
      <protection locked="0"/>
    </xf>
    <xf numFmtId="0" fontId="19" fillId="4" borderId="8" xfId="0" applyFont="1" applyFill="1" applyBorder="1">
      <alignment vertical="center"/>
    </xf>
    <xf numFmtId="0" fontId="19" fillId="4" borderId="12" xfId="0" applyFont="1" applyFill="1" applyBorder="1">
      <alignment vertical="center"/>
    </xf>
    <xf numFmtId="0" fontId="19" fillId="4" borderId="9" xfId="0" applyFont="1" applyFill="1" applyBorder="1">
      <alignment vertical="center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left" vertical="center" shrinkToFit="1"/>
    </xf>
    <xf numFmtId="0" fontId="19" fillId="4" borderId="9" xfId="0" applyFont="1" applyFill="1" applyBorder="1" applyAlignment="1">
      <alignment horizontal="left" vertical="center" shrinkToFit="1"/>
    </xf>
    <xf numFmtId="0" fontId="19" fillId="0" borderId="8" xfId="0" applyFont="1" applyBorder="1" applyAlignment="1" applyProtection="1">
      <alignment horizontal="left" vertical="center" indent="1"/>
      <protection locked="0"/>
    </xf>
    <xf numFmtId="0" fontId="19" fillId="0" borderId="12" xfId="0" applyFont="1" applyBorder="1" applyAlignment="1" applyProtection="1">
      <alignment horizontal="left" vertical="center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0" fillId="0" borderId="0" xfId="0">
      <alignment vertical="center"/>
    </xf>
    <xf numFmtId="0" fontId="21" fillId="0" borderId="0" xfId="0" applyFont="1" applyAlignment="1">
      <alignment horizontal="left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left" vertical="center" wrapText="1" indent="1"/>
      <protection locked="0"/>
    </xf>
    <xf numFmtId="0" fontId="6" fillId="0" borderId="12" xfId="0" applyFont="1" applyBorder="1" applyAlignment="1" applyProtection="1">
      <alignment horizontal="left" vertical="center" wrapText="1" indent="1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41" fontId="20" fillId="0" borderId="8" xfId="1" applyFont="1" applyFill="1" applyBorder="1" applyAlignment="1" applyProtection="1">
      <alignment horizontal="center" vertical="center"/>
      <protection locked="0"/>
    </xf>
    <xf numFmtId="41" fontId="20" fillId="0" borderId="9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</xf>
    <xf numFmtId="41" fontId="20" fillId="0" borderId="9" xfId="1" applyFont="1" applyFill="1" applyBorder="1" applyAlignment="1" applyProtection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0" fillId="0" borderId="16" xfId="0" applyBorder="1" applyProtection="1">
      <alignment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8" xfId="0" applyBorder="1" applyProtection="1">
      <alignment vertical="center"/>
      <protection locked="0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1" fontId="19" fillId="0" borderId="8" xfId="1" applyFont="1" applyFill="1" applyBorder="1" applyAlignment="1" applyProtection="1">
      <alignment horizontal="center" vertical="center"/>
    </xf>
    <xf numFmtId="41" fontId="19" fillId="0" borderId="9" xfId="1" applyFont="1" applyFill="1" applyBorder="1" applyAlignment="1" applyProtection="1">
      <alignment horizontal="center" vertical="center"/>
    </xf>
    <xf numFmtId="0" fontId="21" fillId="0" borderId="19" xfId="0" applyFont="1" applyBorder="1" applyAlignment="1" applyProtection="1">
      <alignment vertical="center" wrapText="1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21" fillId="0" borderId="14" xfId="0" applyFont="1" applyBorder="1" applyAlignment="1" applyProtection="1">
      <alignment vertical="center" wrapText="1"/>
      <protection locked="0"/>
    </xf>
    <xf numFmtId="0" fontId="21" fillId="0" borderId="1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vertical="center" wrapText="1"/>
      <protection locked="0"/>
    </xf>
    <xf numFmtId="0" fontId="21" fillId="0" borderId="7" xfId="0" applyFont="1" applyBorder="1" applyAlignment="1" applyProtection="1">
      <alignment vertical="center" wrapText="1"/>
      <protection locked="0"/>
    </xf>
    <xf numFmtId="41" fontId="19" fillId="0" borderId="8" xfId="1" applyFont="1" applyFill="1" applyBorder="1" applyAlignment="1" applyProtection="1">
      <alignment horizontal="right" vertical="center"/>
    </xf>
    <xf numFmtId="41" fontId="19" fillId="0" borderId="9" xfId="1" applyFont="1" applyFill="1" applyBorder="1" applyAlignment="1" applyProtection="1">
      <alignment horizontal="right" vertical="center"/>
    </xf>
    <xf numFmtId="9" fontId="6" fillId="0" borderId="10" xfId="2" applyFont="1" applyFill="1" applyBorder="1" applyAlignment="1" applyProtection="1">
      <alignment horizontal="left" vertical="center" wrapText="1" indent="1"/>
      <protection locked="0"/>
    </xf>
    <xf numFmtId="41" fontId="20" fillId="0" borderId="10" xfId="1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left" vertical="center" wrapText="1" indent="1"/>
      <protection locked="0"/>
    </xf>
    <xf numFmtId="0" fontId="6" fillId="0" borderId="11" xfId="0" applyFont="1" applyBorder="1" applyAlignment="1" applyProtection="1">
      <alignment horizontal="left" vertical="center" wrapText="1" indent="1"/>
      <protection locked="0"/>
    </xf>
    <xf numFmtId="0" fontId="6" fillId="0" borderId="1" xfId="0" applyFont="1" applyBorder="1" applyAlignment="1" applyProtection="1">
      <alignment horizontal="left" vertical="center" wrapText="1" indent="1"/>
      <protection locked="0"/>
    </xf>
    <xf numFmtId="0" fontId="6" fillId="0" borderId="7" xfId="0" applyFont="1" applyBorder="1" applyAlignment="1" applyProtection="1">
      <alignment horizontal="left" vertical="center" wrapText="1" indent="1"/>
      <protection locked="0"/>
    </xf>
    <xf numFmtId="41" fontId="20" fillId="0" borderId="11" xfId="1" applyFont="1" applyFill="1" applyBorder="1" applyAlignment="1" applyProtection="1">
      <alignment horizontal="center" vertical="center"/>
      <protection locked="0"/>
    </xf>
    <xf numFmtId="41" fontId="20" fillId="0" borderId="7" xfId="1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distributed" vertical="center"/>
    </xf>
    <xf numFmtId="176" fontId="17" fillId="0" borderId="0" xfId="1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" xfId="0" applyFont="1" applyBorder="1" applyAlignment="1" applyProtection="1">
      <alignment horizontal="right" vertical="top" shrinkToFit="1"/>
      <protection locked="0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3" fillId="0" borderId="20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3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distributed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7" fillId="0" borderId="0" xfId="0" applyFont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9" fillId="0" borderId="8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/>
    </xf>
    <xf numFmtId="0" fontId="14" fillId="0" borderId="0" xfId="0" applyFont="1" applyAlignment="1" applyProtection="1">
      <alignment horizontal="left" indent="2"/>
      <protection locked="0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0" borderId="0" xfId="3" applyAlignment="1" applyProtection="1">
      <alignment horizontal="left" indent="2"/>
      <protection locked="0"/>
    </xf>
    <xf numFmtId="0" fontId="9" fillId="0" borderId="12" xfId="0" applyFont="1" applyBorder="1" applyAlignment="1">
      <alignment horizontal="left" vertical="center" indent="1"/>
    </xf>
    <xf numFmtId="14" fontId="9" fillId="0" borderId="10" xfId="1" applyNumberFormat="1" applyFont="1" applyFill="1" applyBorder="1" applyAlignment="1" applyProtection="1">
      <alignment horizontal="center" vertical="center" wrapText="1"/>
      <protection locked="0"/>
    </xf>
    <xf numFmtId="14" fontId="23" fillId="0" borderId="10" xfId="1" applyNumberFormat="1" applyFont="1" applyFill="1" applyBorder="1" applyAlignment="1" applyProtection="1">
      <alignment horizontal="center" vertical="center" wrapTex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79B9D785-4F68-4965-B39F-42836632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</a:ln>
        <a:effectLst>
          <a:glow>
            <a:schemeClr val="accent1">
              <a:alpha val="40000"/>
            </a:schemeClr>
          </a:glow>
          <a:softEdge rad="0"/>
        </a:effectLst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858DF12-5017-4237-852E-400C67ADE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 t="2776" b="14883"/>
        <a:stretch/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</a:ln>
        <a:effectLst>
          <a:softEdge rad="3810"/>
        </a:effectLst>
      </xdr:spPr>
    </xdr:pic>
    <xdr:clientData/>
  </xdr:oneCellAnchor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9F41E975-800F-4624-9CB9-F3DF903A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E7B8DCB3-D310-419F-A7A2-3E024265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7A-B2A6-4E4F-BE39-5F93CCFEBD94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defaultColWidth="18.15234375" defaultRowHeight="22.5" customHeight="1"/>
  <cols>
    <col min="1" max="1" width="1.3828125" customWidth="1" collapsed="1"/>
    <col min="2" max="2" width="2" customWidth="1" collapsed="1"/>
    <col min="3" max="3" width="5.3828125" customWidth="1" collapsed="1"/>
    <col min="4" max="4" width="8.53515625" customWidth="1" collapsed="1"/>
    <col min="5" max="5" width="12.69140625" customWidth="1" collapsed="1"/>
    <col min="6" max="6" width="11.84375" customWidth="1" collapsed="1"/>
    <col min="7" max="7" width="9" customWidth="1" collapsed="1"/>
    <col min="8" max="9" width="9.15234375" customWidth="1" collapsed="1"/>
    <col min="10" max="10" width="10.69140625" customWidth="1" collapsed="1"/>
    <col min="11" max="11" width="8.53515625" customWidth="1" collapsed="1"/>
    <col min="12" max="12" width="6.84375" customWidth="1" collapsed="1"/>
    <col min="13" max="13" width="11" customWidth="1" collapsed="1"/>
    <col min="14" max="14" width="7.15234375" customWidth="1" collapsed="1"/>
    <col min="15" max="15" width="9.69140625" customWidth="1" collapsed="1"/>
    <col min="16" max="16" width="9.3828125" customWidth="1" collapsed="1"/>
    <col min="17" max="17" width="21.69140625" customWidth="1" collapsed="1"/>
    <col min="18" max="18" width="1.69140625" customWidth="1" collapsed="1"/>
    <col min="19" max="19" width="2.3046875" customWidth="1" collapsed="1"/>
    <col min="20" max="22" width="13.69140625" customWidth="1" collapsed="1"/>
    <col min="23" max="23" width="13.53515625" customWidth="1" collapsed="1"/>
    <col min="24" max="24" width="17" customWidth="1" collapsed="1"/>
    <col min="25" max="25" width="5.69140625" customWidth="1" collapsed="1"/>
    <col min="26" max="26" width="6.3046875" customWidth="1" collapsed="1"/>
    <col min="28" max="16384" width="18.15234375" collapsed="1"/>
  </cols>
  <sheetData>
    <row r="1" spans="2:27" ht="49.5" customHeight="1">
      <c r="B1" s="156" t="s">
        <v>57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157" t="s">
        <v>0</v>
      </c>
      <c r="D3" s="157"/>
      <c r="E3" s="158">
        <v>45965</v>
      </c>
      <c r="F3" s="158"/>
      <c r="G3" s="5"/>
      <c r="I3" s="6"/>
      <c r="J3" s="7"/>
      <c r="L3" s="159" t="s">
        <v>1</v>
      </c>
      <c r="M3" s="162" t="s">
        <v>2</v>
      </c>
      <c r="N3" s="72"/>
      <c r="O3" s="72"/>
      <c r="P3" s="72"/>
      <c r="Q3" s="164" t="s">
        <v>64</v>
      </c>
    </row>
    <row r="4" spans="2:27" ht="13.5" customHeight="1">
      <c r="C4" s="166" t="s">
        <v>69</v>
      </c>
      <c r="D4" s="166"/>
      <c r="E4" s="166"/>
      <c r="F4" s="166"/>
      <c r="L4" s="160"/>
      <c r="M4" s="163"/>
      <c r="N4" s="71"/>
      <c r="O4" s="71"/>
      <c r="P4" s="71"/>
      <c r="Q4" s="165"/>
    </row>
    <row r="5" spans="2:27" ht="18" customHeight="1">
      <c r="B5" s="8"/>
      <c r="C5" s="167"/>
      <c r="D5" s="167"/>
      <c r="E5" s="167"/>
      <c r="F5" s="167"/>
      <c r="G5" s="9" t="s">
        <v>3</v>
      </c>
      <c r="H5" s="10"/>
      <c r="I5" s="10"/>
      <c r="J5" s="10"/>
      <c r="L5" s="160"/>
      <c r="M5" s="59" t="s">
        <v>4</v>
      </c>
      <c r="N5" s="168" t="s">
        <v>5</v>
      </c>
      <c r="O5" s="169"/>
      <c r="P5" s="11" t="s">
        <v>6</v>
      </c>
      <c r="Q5" s="12" t="s">
        <v>7</v>
      </c>
      <c r="U5" s="68"/>
    </row>
    <row r="6" spans="2:27" ht="31.5" customHeight="1">
      <c r="B6" s="13"/>
      <c r="C6" s="170" t="s">
        <v>61</v>
      </c>
      <c r="D6" s="170"/>
      <c r="E6" s="171"/>
      <c r="F6" s="171"/>
      <c r="G6" s="171"/>
      <c r="H6" s="14"/>
      <c r="I6" s="9"/>
      <c r="J6" s="15"/>
      <c r="L6" s="160"/>
      <c r="M6" s="59" t="s">
        <v>8</v>
      </c>
      <c r="N6" s="172" t="s">
        <v>63</v>
      </c>
      <c r="O6" s="173"/>
      <c r="P6" s="173"/>
      <c r="Q6" s="174"/>
      <c r="R6" s="16"/>
      <c r="S6" s="16"/>
      <c r="V6" s="68"/>
    </row>
    <row r="7" spans="2:27" ht="21.75" customHeight="1">
      <c r="B7" s="13"/>
      <c r="C7" s="170" t="s">
        <v>60</v>
      </c>
      <c r="D7" s="170"/>
      <c r="E7" s="171"/>
      <c r="F7" s="171"/>
      <c r="G7" s="171"/>
      <c r="H7" s="17"/>
      <c r="I7" s="18"/>
      <c r="J7" s="19"/>
      <c r="K7" s="19"/>
      <c r="L7" s="160"/>
      <c r="M7" s="59" t="s">
        <v>9</v>
      </c>
      <c r="N7" s="168" t="s">
        <v>10</v>
      </c>
      <c r="O7" s="169"/>
      <c r="P7" s="20" t="s">
        <v>11</v>
      </c>
      <c r="Q7" s="21" t="s">
        <v>12</v>
      </c>
      <c r="R7" s="16"/>
      <c r="S7" s="16"/>
      <c r="U7" s="65"/>
      <c r="V7" s="65"/>
      <c r="W7" s="65"/>
    </row>
    <row r="8" spans="2:27" ht="21.75" customHeight="1">
      <c r="B8" s="13"/>
      <c r="C8" s="170" t="s">
        <v>58</v>
      </c>
      <c r="D8" s="170"/>
      <c r="E8" s="175"/>
      <c r="F8" s="171"/>
      <c r="G8" s="171"/>
      <c r="H8" s="22"/>
      <c r="I8" s="18"/>
      <c r="J8" s="19"/>
      <c r="K8" s="19"/>
      <c r="L8" s="161"/>
      <c r="M8" s="59" t="s">
        <v>13</v>
      </c>
      <c r="N8" s="168" t="s">
        <v>14</v>
      </c>
      <c r="O8" s="176"/>
      <c r="P8" s="23" t="s">
        <v>15</v>
      </c>
      <c r="Q8" s="24" t="s">
        <v>16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146" t="s">
        <v>17</v>
      </c>
      <c r="D10" s="146"/>
      <c r="E10" s="147" t="e">
        <f>O26</f>
        <v>#VALUE!</v>
      </c>
      <c r="F10" s="147"/>
      <c r="G10" s="147"/>
      <c r="H10" s="147"/>
      <c r="I10" s="148" t="s">
        <v>18</v>
      </c>
      <c r="J10" s="148"/>
      <c r="K10" s="148"/>
      <c r="L10" s="73" t="s">
        <v>65</v>
      </c>
      <c r="M10" s="154" t="s">
        <v>66</v>
      </c>
      <c r="N10" s="155"/>
      <c r="O10" s="155" t="s">
        <v>67</v>
      </c>
      <c r="P10" s="155"/>
      <c r="Q10" s="74" t="s">
        <v>68</v>
      </c>
      <c r="R10" s="19"/>
      <c r="S10" s="16"/>
      <c r="U10" s="69"/>
    </row>
    <row r="11" spans="2:27" ht="20.25" customHeight="1">
      <c r="C11" s="32" t="s">
        <v>19</v>
      </c>
      <c r="E11" s="32"/>
      <c r="F11" s="22"/>
      <c r="G11" s="22"/>
      <c r="H11" s="22"/>
      <c r="I11" s="33"/>
      <c r="J11" s="33"/>
      <c r="K11" s="33"/>
      <c r="M11" s="149"/>
      <c r="N11" s="149"/>
      <c r="O11" s="150"/>
      <c r="P11" s="150"/>
      <c r="Q11" s="34"/>
      <c r="R11" s="16"/>
      <c r="S11" s="16"/>
      <c r="T11" s="35" t="s">
        <v>20</v>
      </c>
    </row>
    <row r="12" spans="2:27" ht="22.5" customHeight="1">
      <c r="B12" s="106" t="s">
        <v>21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8"/>
      <c r="T12" s="35" t="s">
        <v>22</v>
      </c>
    </row>
    <row r="13" spans="2:27" ht="22.5" customHeight="1">
      <c r="B13" s="151" t="s">
        <v>23</v>
      </c>
      <c r="C13" s="152"/>
      <c r="D13" s="151" t="s">
        <v>24</v>
      </c>
      <c r="E13" s="153"/>
      <c r="F13" s="153"/>
      <c r="G13" s="153"/>
      <c r="H13" s="153"/>
      <c r="I13" s="153"/>
      <c r="J13" s="153"/>
      <c r="K13" s="152"/>
      <c r="L13" s="36" t="s">
        <v>25</v>
      </c>
      <c r="M13" s="151" t="s">
        <v>26</v>
      </c>
      <c r="N13" s="152"/>
      <c r="O13" s="151" t="s">
        <v>27</v>
      </c>
      <c r="P13" s="152"/>
      <c r="Q13" s="36" t="s">
        <v>28</v>
      </c>
      <c r="T13" s="36" t="s">
        <v>29</v>
      </c>
      <c r="U13" s="61" t="s">
        <v>30</v>
      </c>
      <c r="V13" s="62" t="s">
        <v>31</v>
      </c>
      <c r="W13" s="37" t="s">
        <v>32</v>
      </c>
      <c r="X13" s="61" t="s">
        <v>33</v>
      </c>
    </row>
    <row r="14" spans="2:27" ht="33" customHeight="1">
      <c r="B14" s="109">
        <v>1</v>
      </c>
      <c r="C14" s="109"/>
      <c r="D14" s="140" t="s">
        <v>70</v>
      </c>
      <c r="E14" s="140"/>
      <c r="F14" s="140"/>
      <c r="G14" s="140"/>
      <c r="H14" s="140"/>
      <c r="I14" s="140"/>
      <c r="J14" s="140"/>
      <c r="K14" s="140"/>
      <c r="L14" s="38">
        <v>153</v>
      </c>
      <c r="M14" s="139" t="s">
        <v>71</v>
      </c>
      <c r="N14" s="139"/>
      <c r="O14" s="115" t="e">
        <f t="shared" ref="O14:O22" si="0">M14*L14</f>
        <v>#VALUE!</v>
      </c>
      <c r="P14" s="116"/>
      <c r="Q14" s="177">
        <v>45856</v>
      </c>
      <c r="T14" s="39" t="s">
        <v>71</v>
      </c>
      <c r="U14" s="39" t="e">
        <f>T14*L14</f>
        <v>#VALUE!</v>
      </c>
      <c r="V14" s="41" t="e">
        <f t="shared" ref="V14:V23" si="1">O14-U14</f>
        <v>#VALUE!</v>
      </c>
      <c r="W14" s="42" t="e">
        <f t="shared" ref="W14:W24" si="2">V14/O14</f>
        <v>#VALUE!</v>
      </c>
      <c r="X14" s="66"/>
      <c r="Y14" s="44"/>
      <c r="AA14" s="45"/>
    </row>
    <row r="15" spans="2:27" ht="33" customHeight="1">
      <c r="B15" s="109">
        <v>2</v>
      </c>
      <c r="C15" s="109"/>
      <c r="D15" s="110" t="s">
        <v>72</v>
      </c>
      <c r="E15" s="111"/>
      <c r="F15" s="111"/>
      <c r="G15" s="111"/>
      <c r="H15" s="111"/>
      <c r="I15" s="111"/>
      <c r="J15" s="111"/>
      <c r="K15" s="112"/>
      <c r="L15" s="38">
        <v>150</v>
      </c>
      <c r="M15" s="139">
        <v>15000</v>
      </c>
      <c r="N15" s="139"/>
      <c r="O15" s="115">
        <f t="shared" si="0"/>
        <v>2250000</v>
      </c>
      <c r="P15" s="116"/>
      <c r="Q15" s="177">
        <v>45856</v>
      </c>
      <c r="T15" s="39">
        <v>14500</v>
      </c>
      <c r="U15" s="40">
        <f t="shared" ref="U15:U23" si="3">L15*T15</f>
        <v>2175000</v>
      </c>
      <c r="V15" s="41">
        <f t="shared" si="1"/>
        <v>75000</v>
      </c>
      <c r="W15" s="42">
        <f t="shared" si="2"/>
        <v>3.3333333333333333E-2</v>
      </c>
      <c r="X15" s="66"/>
      <c r="Y15" s="44"/>
      <c r="AA15" s="45"/>
    </row>
    <row r="16" spans="2:27" ht="33" customHeight="1">
      <c r="B16" s="109">
        <v>3</v>
      </c>
      <c r="C16" s="109"/>
      <c r="D16" s="110" t="s">
        <v>73</v>
      </c>
      <c r="E16" s="111"/>
      <c r="F16" s="111"/>
      <c r="G16" s="111"/>
      <c r="H16" s="111"/>
      <c r="I16" s="111"/>
      <c r="J16" s="111"/>
      <c r="K16" s="112"/>
      <c r="L16" s="38">
        <v>3</v>
      </c>
      <c r="M16" s="139">
        <v>300000</v>
      </c>
      <c r="N16" s="139"/>
      <c r="O16" s="115">
        <f t="shared" si="0"/>
        <v>900000</v>
      </c>
      <c r="P16" s="116"/>
      <c r="Q16" s="177">
        <v>45856</v>
      </c>
      <c r="T16" s="39">
        <v>294000</v>
      </c>
      <c r="U16" s="40">
        <f t="shared" si="3"/>
        <v>882000</v>
      </c>
      <c r="V16" s="41">
        <f t="shared" si="1"/>
        <v>18000</v>
      </c>
      <c r="W16" s="42">
        <f t="shared" si="2"/>
        <v>0.02</v>
      </c>
      <c r="X16" s="43"/>
      <c r="Y16" s="44"/>
      <c r="AA16" s="45"/>
    </row>
    <row r="17" spans="2:25" ht="33" customHeight="1">
      <c r="B17" s="109">
        <v>4</v>
      </c>
      <c r="C17" s="109"/>
      <c r="D17" s="138" t="s">
        <v>74</v>
      </c>
      <c r="E17" s="138"/>
      <c r="F17" s="138"/>
      <c r="G17" s="138"/>
      <c r="H17" s="138"/>
      <c r="I17" s="138"/>
      <c r="J17" s="138"/>
      <c r="K17" s="138"/>
      <c r="L17" s="38">
        <v>4</v>
      </c>
      <c r="M17" s="139">
        <v>5430000</v>
      </c>
      <c r="N17" s="139"/>
      <c r="O17" s="115">
        <f t="shared" si="0"/>
        <v>21720000</v>
      </c>
      <c r="P17" s="116"/>
      <c r="Q17" s="177">
        <v>45865</v>
      </c>
      <c r="T17" s="39">
        <v>5311590</v>
      </c>
      <c r="U17" s="40">
        <f t="shared" si="3"/>
        <v>21246360</v>
      </c>
      <c r="V17" s="41">
        <f t="shared" si="1"/>
        <v>473640</v>
      </c>
      <c r="W17" s="42">
        <f t="shared" si="2"/>
        <v>2.1806629834254142E-2</v>
      </c>
      <c r="X17" s="43"/>
      <c r="Y17" s="44"/>
    </row>
    <row r="18" spans="2:25" ht="33" customHeight="1">
      <c r="B18" s="109">
        <v>5</v>
      </c>
      <c r="C18" s="109"/>
      <c r="D18" s="140" t="s">
        <v>75</v>
      </c>
      <c r="E18" s="140"/>
      <c r="F18" s="140"/>
      <c r="G18" s="140"/>
      <c r="H18" s="140"/>
      <c r="I18" s="140"/>
      <c r="J18" s="140"/>
      <c r="K18" s="140"/>
      <c r="L18" s="38">
        <v>1</v>
      </c>
      <c r="M18" s="139">
        <v>77000</v>
      </c>
      <c r="N18" s="139"/>
      <c r="O18" s="115">
        <f t="shared" si="0"/>
        <v>77000</v>
      </c>
      <c r="P18" s="116"/>
      <c r="Q18" s="178">
        <v>45859</v>
      </c>
      <c r="T18" s="39">
        <v>73920</v>
      </c>
      <c r="U18" s="40">
        <f t="shared" si="3"/>
        <v>73920</v>
      </c>
      <c r="V18" s="41">
        <f t="shared" si="1"/>
        <v>3080</v>
      </c>
      <c r="W18" s="42">
        <f t="shared" si="2"/>
        <v>0.04</v>
      </c>
      <c r="X18" s="43"/>
      <c r="Y18" s="44"/>
    </row>
    <row r="19" spans="2:25" ht="33" customHeight="1">
      <c r="B19" s="109">
        <v>6</v>
      </c>
      <c r="C19" s="109"/>
      <c r="D19" s="141"/>
      <c r="E19" s="142"/>
      <c r="F19" s="142"/>
      <c r="G19" s="142"/>
      <c r="H19" s="142"/>
      <c r="I19" s="142"/>
      <c r="J19" s="142"/>
      <c r="K19" s="143"/>
      <c r="L19" s="70"/>
      <c r="M19" s="144"/>
      <c r="N19" s="145"/>
      <c r="O19" s="115">
        <f t="shared" si="0"/>
        <v>0</v>
      </c>
      <c r="P19" s="11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109">
        <v>7</v>
      </c>
      <c r="C20" s="109"/>
      <c r="D20" s="110"/>
      <c r="E20" s="111"/>
      <c r="F20" s="111"/>
      <c r="G20" s="111"/>
      <c r="H20" s="111"/>
      <c r="I20" s="111"/>
      <c r="J20" s="111"/>
      <c r="K20" s="112"/>
      <c r="L20" s="38"/>
      <c r="M20" s="113"/>
      <c r="N20" s="114"/>
      <c r="O20" s="115">
        <f t="shared" si="0"/>
        <v>0</v>
      </c>
      <c r="P20" s="11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109">
        <v>8</v>
      </c>
      <c r="C21" s="109"/>
      <c r="D21" s="110"/>
      <c r="E21" s="111"/>
      <c r="F21" s="111"/>
      <c r="G21" s="111"/>
      <c r="H21" s="111"/>
      <c r="I21" s="111"/>
      <c r="J21" s="111"/>
      <c r="K21" s="112"/>
      <c r="L21" s="38"/>
      <c r="M21" s="113"/>
      <c r="N21" s="114"/>
      <c r="O21" s="115">
        <f t="shared" si="0"/>
        <v>0</v>
      </c>
      <c r="P21" s="11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109">
        <v>9</v>
      </c>
      <c r="C22" s="109"/>
      <c r="D22" s="110"/>
      <c r="E22" s="111"/>
      <c r="F22" s="111"/>
      <c r="G22" s="111"/>
      <c r="H22" s="111"/>
      <c r="I22" s="111"/>
      <c r="J22" s="111"/>
      <c r="K22" s="112"/>
      <c r="L22" s="38"/>
      <c r="M22" s="113"/>
      <c r="N22" s="114"/>
      <c r="O22" s="115">
        <f t="shared" si="0"/>
        <v>0</v>
      </c>
      <c r="P22" s="11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109">
        <v>10</v>
      </c>
      <c r="C23" s="109"/>
      <c r="D23" s="110"/>
      <c r="E23" s="111"/>
      <c r="F23" s="111"/>
      <c r="G23" s="111"/>
      <c r="H23" s="111"/>
      <c r="I23" s="111"/>
      <c r="J23" s="111"/>
      <c r="K23" s="112"/>
      <c r="L23" s="38"/>
      <c r="M23" s="113"/>
      <c r="N23" s="114"/>
      <c r="O23" s="115">
        <f>M23*L23</f>
        <v>0</v>
      </c>
      <c r="P23" s="11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17" t="s">
        <v>34</v>
      </c>
      <c r="C24" s="118"/>
      <c r="D24" s="123" t="s">
        <v>62</v>
      </c>
      <c r="E24" s="124"/>
      <c r="F24" s="124"/>
      <c r="G24" s="124"/>
      <c r="H24" s="124"/>
      <c r="I24" s="124" t="s">
        <v>35</v>
      </c>
      <c r="J24" s="124"/>
      <c r="K24" s="124"/>
      <c r="L24" s="125"/>
      <c r="M24" s="126" t="s">
        <v>36</v>
      </c>
      <c r="N24" s="127"/>
      <c r="O24" s="128" t="e">
        <f>SUM(O14:P23)</f>
        <v>#VALUE!</v>
      </c>
      <c r="P24" s="129"/>
      <c r="Q24" s="48"/>
      <c r="T24" s="39">
        <f>SUM(T14:T23)</f>
        <v>5694010</v>
      </c>
      <c r="U24" s="39" t="e">
        <f>SUM(U14:U23)</f>
        <v>#VALUE!</v>
      </c>
      <c r="V24" s="39" t="e">
        <f>SUM(V14:V23)</f>
        <v>#VALUE!</v>
      </c>
      <c r="W24" s="42" t="e">
        <f t="shared" si="2"/>
        <v>#VALUE!</v>
      </c>
      <c r="X24" s="43"/>
      <c r="Y24" s="44"/>
    </row>
    <row r="25" spans="2:25" ht="21" customHeight="1">
      <c r="B25" s="119"/>
      <c r="C25" s="120"/>
      <c r="D25" s="130" t="s">
        <v>59</v>
      </c>
      <c r="E25" s="131"/>
      <c r="F25" s="131"/>
      <c r="G25" s="131"/>
      <c r="H25" s="131"/>
      <c r="I25" s="131"/>
      <c r="J25" s="131"/>
      <c r="K25" s="131"/>
      <c r="L25" s="132"/>
      <c r="M25" s="126" t="s">
        <v>37</v>
      </c>
      <c r="N25" s="127"/>
      <c r="O25" s="136" t="e">
        <f>O24*0.1</f>
        <v>#VALUE!</v>
      </c>
      <c r="P25" s="137"/>
      <c r="Q25" s="48"/>
      <c r="Y25" s="44"/>
    </row>
    <row r="26" spans="2:25" ht="21" customHeight="1">
      <c r="B26" s="121"/>
      <c r="C26" s="122"/>
      <c r="D26" s="133"/>
      <c r="E26" s="134"/>
      <c r="F26" s="134"/>
      <c r="G26" s="134"/>
      <c r="H26" s="134"/>
      <c r="I26" s="134"/>
      <c r="J26" s="134"/>
      <c r="K26" s="134"/>
      <c r="L26" s="135"/>
      <c r="M26" s="126" t="s">
        <v>38</v>
      </c>
      <c r="N26" s="127"/>
      <c r="O26" s="136" t="e">
        <f>SUM(O24:P25)</f>
        <v>#VALUE!</v>
      </c>
      <c r="P26" s="137"/>
      <c r="Q26" s="48"/>
      <c r="W26" s="45"/>
      <c r="X26" s="49"/>
    </row>
    <row r="27" spans="2:25" ht="6.75" customHeight="1"/>
    <row r="28" spans="2:25" ht="6.75" customHeight="1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</row>
    <row r="29" spans="2:25" ht="13.5" customHeight="1"/>
    <row r="30" spans="2:25" ht="12.75" customHeight="1">
      <c r="B30" s="105" t="s">
        <v>39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</row>
    <row r="31" spans="2:25" ht="6.75" customHeight="1"/>
    <row r="32" spans="2:25" ht="22.5" customHeight="1">
      <c r="B32" s="106" t="s">
        <v>40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8"/>
      <c r="V32" s="50"/>
      <c r="W32" s="50"/>
    </row>
    <row r="33" spans="1:23" s="51" customFormat="1" ht="25.5" customHeight="1">
      <c r="B33" s="81" t="s">
        <v>41</v>
      </c>
      <c r="C33" s="82"/>
      <c r="D33" s="82"/>
      <c r="E33" s="83"/>
      <c r="F33" s="87"/>
      <c r="G33" s="88"/>
      <c r="H33" s="89"/>
      <c r="I33" s="81" t="s">
        <v>42</v>
      </c>
      <c r="J33" s="82"/>
      <c r="K33" s="87"/>
      <c r="L33" s="88"/>
      <c r="M33" s="89"/>
      <c r="N33" s="81" t="s">
        <v>43</v>
      </c>
      <c r="O33" s="83"/>
      <c r="P33" s="84"/>
      <c r="Q33" s="86"/>
      <c r="W33" s="52"/>
    </row>
    <row r="34" spans="1:23" s="51" customFormat="1" ht="25.5" customHeight="1">
      <c r="B34" s="81" t="s">
        <v>44</v>
      </c>
      <c r="C34" s="82"/>
      <c r="D34" s="82"/>
      <c r="E34" s="83"/>
      <c r="F34" s="84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6"/>
      <c r="W34" s="53"/>
    </row>
    <row r="35" spans="1:23" s="51" customFormat="1" ht="25.5" customHeight="1">
      <c r="B35" s="81" t="s">
        <v>45</v>
      </c>
      <c r="C35" s="82"/>
      <c r="D35" s="82"/>
      <c r="E35" s="83"/>
      <c r="F35" s="84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6"/>
    </row>
    <row r="36" spans="1:23" ht="25.5" customHeight="1">
      <c r="B36" s="81" t="s">
        <v>46</v>
      </c>
      <c r="C36" s="82"/>
      <c r="D36" s="82"/>
      <c r="E36" s="83"/>
      <c r="F36" s="87"/>
      <c r="G36" s="88"/>
      <c r="H36" s="88"/>
      <c r="I36" s="88"/>
      <c r="J36" s="89"/>
      <c r="K36" s="90" t="s">
        <v>47</v>
      </c>
      <c r="L36" s="91"/>
      <c r="M36" s="92"/>
      <c r="N36" s="88"/>
      <c r="O36" s="88"/>
      <c r="P36" s="88"/>
      <c r="Q36" s="89"/>
    </row>
    <row r="37" spans="1:23" ht="25.5" customHeight="1">
      <c r="B37" s="93" t="s">
        <v>48</v>
      </c>
      <c r="C37" s="94"/>
      <c r="D37" s="95"/>
      <c r="E37" s="99" t="s">
        <v>49</v>
      </c>
      <c r="F37" s="100"/>
      <c r="G37" s="101"/>
      <c r="H37" s="102"/>
      <c r="I37" s="102"/>
      <c r="J37" s="102"/>
      <c r="K37" s="103"/>
      <c r="L37" s="81" t="s">
        <v>50</v>
      </c>
      <c r="M37" s="83"/>
      <c r="N37" s="84"/>
      <c r="O37" s="85"/>
      <c r="P37" s="85"/>
      <c r="Q37" s="86"/>
    </row>
    <row r="38" spans="1:23" ht="25.5" customHeight="1">
      <c r="B38" s="96"/>
      <c r="C38" s="97"/>
      <c r="D38" s="98"/>
      <c r="E38" s="81" t="s">
        <v>51</v>
      </c>
      <c r="F38" s="83"/>
      <c r="G38" s="84"/>
      <c r="H38" s="85"/>
      <c r="I38" s="85"/>
      <c r="J38" s="85"/>
      <c r="K38" s="85"/>
      <c r="L38" s="85"/>
      <c r="M38" s="85"/>
      <c r="N38" s="85"/>
      <c r="O38" s="85"/>
      <c r="P38" s="85"/>
      <c r="Q38" s="86"/>
    </row>
    <row r="39" spans="1:23" ht="15" customHeight="1"/>
    <row r="40" spans="1:23" ht="12.75" customHeight="1">
      <c r="B40" s="75" t="s">
        <v>52</v>
      </c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75"/>
      <c r="C42" s="75"/>
      <c r="D42" s="75"/>
      <c r="E42" s="75"/>
      <c r="F42" s="75"/>
      <c r="G42" s="75"/>
      <c r="H42" s="76" t="s">
        <v>53</v>
      </c>
      <c r="I42" s="76"/>
      <c r="J42" s="76"/>
      <c r="K42" s="76"/>
      <c r="L42" s="76"/>
      <c r="M42" s="76"/>
      <c r="N42" s="77" t="s">
        <v>54</v>
      </c>
      <c r="O42" s="77"/>
      <c r="P42" s="77"/>
      <c r="Q42" s="77"/>
    </row>
    <row r="43" spans="1:23" ht="30" customHeight="1">
      <c r="B43" s="78"/>
      <c r="C43" s="78"/>
      <c r="D43" s="79"/>
      <c r="E43" s="79"/>
      <c r="F43" s="79"/>
      <c r="G43" s="79"/>
      <c r="H43" s="79"/>
      <c r="I43" s="79"/>
      <c r="J43" s="79"/>
      <c r="K43" s="79"/>
      <c r="L43" s="54"/>
      <c r="M43" s="80"/>
      <c r="N43" s="80"/>
      <c r="O43" s="80"/>
      <c r="P43" s="80"/>
      <c r="Q43" s="55"/>
    </row>
    <row r="46" spans="1:23" ht="13.15">
      <c r="G46" s="56"/>
    </row>
    <row r="47" spans="1:23" ht="18" customHeight="1">
      <c r="A47" s="57"/>
      <c r="B47" s="57" t="s">
        <v>55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56</v>
      </c>
      <c r="R47" s="58"/>
    </row>
  </sheetData>
  <sheetProtection formatCells="0" formatRows="0" insertRows="0" deleteRows="0"/>
  <mergeCells count="111"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N6:Q6"/>
    <mergeCell ref="C7:D7"/>
    <mergeCell ref="E7:G7"/>
    <mergeCell ref="N7:O7"/>
    <mergeCell ref="C8:D8"/>
    <mergeCell ref="E8:G8"/>
    <mergeCell ref="N8:O8"/>
    <mergeCell ref="C10:D10"/>
    <mergeCell ref="E10:H10"/>
    <mergeCell ref="I10:K10"/>
    <mergeCell ref="M11:N11"/>
    <mergeCell ref="O11:P11"/>
    <mergeCell ref="B12:Q12"/>
    <mergeCell ref="B13:C13"/>
    <mergeCell ref="D13:K13"/>
    <mergeCell ref="M13:N13"/>
    <mergeCell ref="O13:P13"/>
    <mergeCell ref="M10:N10"/>
    <mergeCell ref="O10:P10"/>
    <mergeCell ref="B14:C14"/>
    <mergeCell ref="D14:K14"/>
    <mergeCell ref="M14:N14"/>
    <mergeCell ref="O14:P14"/>
    <mergeCell ref="B15:C15"/>
    <mergeCell ref="D15:K15"/>
    <mergeCell ref="M15:N15"/>
    <mergeCell ref="O15:P15"/>
    <mergeCell ref="B16:C16"/>
    <mergeCell ref="D16:K16"/>
    <mergeCell ref="M16:N16"/>
    <mergeCell ref="O16:P16"/>
    <mergeCell ref="B17:C17"/>
    <mergeCell ref="D17:K17"/>
    <mergeCell ref="M17:N17"/>
    <mergeCell ref="O17:P17"/>
    <mergeCell ref="B18:C18"/>
    <mergeCell ref="D18:K18"/>
    <mergeCell ref="M18:N18"/>
    <mergeCell ref="O18:P18"/>
    <mergeCell ref="B19:C19"/>
    <mergeCell ref="D19:K19"/>
    <mergeCell ref="M19:N19"/>
    <mergeCell ref="O19:P19"/>
    <mergeCell ref="B20:C20"/>
    <mergeCell ref="D20:K20"/>
    <mergeCell ref="M20:N20"/>
    <mergeCell ref="O20:P20"/>
    <mergeCell ref="B21:C21"/>
    <mergeCell ref="D21:K21"/>
    <mergeCell ref="M21:N21"/>
    <mergeCell ref="O21:P21"/>
    <mergeCell ref="B22:C22"/>
    <mergeCell ref="D22:K22"/>
    <mergeCell ref="M22:N22"/>
    <mergeCell ref="O22:P22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M25:N25"/>
    <mergeCell ref="O25:P25"/>
    <mergeCell ref="M26:N26"/>
    <mergeCell ref="O26:P26"/>
    <mergeCell ref="B28:Q28"/>
    <mergeCell ref="B30:Q30"/>
    <mergeCell ref="B32:Q32"/>
    <mergeCell ref="B33:E33"/>
    <mergeCell ref="F33:H33"/>
    <mergeCell ref="I33:J33"/>
    <mergeCell ref="K33:M33"/>
    <mergeCell ref="N33:O33"/>
    <mergeCell ref="P33:Q33"/>
    <mergeCell ref="B40:Q40"/>
    <mergeCell ref="B42:G42"/>
    <mergeCell ref="H42:M42"/>
    <mergeCell ref="N42:Q42"/>
    <mergeCell ref="B43:C43"/>
    <mergeCell ref="D43:K43"/>
    <mergeCell ref="M43:N43"/>
    <mergeCell ref="O43:P43"/>
    <mergeCell ref="B34:E34"/>
    <mergeCell ref="F34:Q34"/>
    <mergeCell ref="B35:E35"/>
    <mergeCell ref="F35:Q35"/>
    <mergeCell ref="B36:E36"/>
    <mergeCell ref="F36:J36"/>
    <mergeCell ref="K36:M36"/>
    <mergeCell ref="N36:Q36"/>
    <mergeCell ref="B37:D38"/>
    <mergeCell ref="E37:F37"/>
    <mergeCell ref="G37:K37"/>
    <mergeCell ref="L37:M37"/>
    <mergeCell ref="N37:Q37"/>
    <mergeCell ref="E38:F38"/>
    <mergeCell ref="G38:Q38"/>
  </mergeCells>
  <phoneticPr fontId="2" type="noConversion"/>
  <dataValidations count="1">
    <dataValidation type="whole" allowBlank="1" showDropDown="1" showInputMessage="1" showErrorMessage="1" sqref="B36 B14" xr:uid="{6863F6E7-C1A7-4CDD-A4BE-EAE480E1FFAC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621483-B609-46FD-AF4F-594A4DCF403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2.xml><?xml version="1.0" encoding="utf-8"?>
<ds:datastoreItem xmlns:ds="http://schemas.openxmlformats.org/officeDocument/2006/customXml" ds:itemID="{49C94A8F-EE58-4641-9A57-0EC1D16D4020}"/>
</file>

<file path=customXml/itemProps3.xml><?xml version="1.0" encoding="utf-8"?>
<ds:datastoreItem xmlns:ds="http://schemas.openxmlformats.org/officeDocument/2006/customXml" ds:itemID="{D1BE948C-8298-45B7-BF24-5CDA3ECAD8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2025-11-04T05:02:23Z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