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5" documentId="11_B1B4F7044AA107B92F731C31807D981134B32DBA" xr6:coauthVersionLast="47" xr6:coauthVersionMax="47" xr10:uidLastSave="{D7A80F5A-B3C5-4E22-B883-A90F2EEF7E6F}"/>
  <bookViews>
    <workbookView xWindow="34404" yWindow="-156" windowWidth="31032" windowHeight="16872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V19" i="1" s="1"/>
  <c r="W19" i="1" s="1"/>
  <c r="O19" i="1"/>
  <c r="V18" i="1"/>
  <c r="W18" i="1" s="1"/>
  <c r="U18" i="1"/>
  <c r="O18" i="1"/>
  <c r="U17" i="1"/>
  <c r="O17" i="1"/>
  <c r="V17" i="1" s="1"/>
  <c r="W17" i="1" s="1"/>
  <c r="U16" i="1"/>
  <c r="O16" i="1"/>
  <c r="V16" i="1" s="1"/>
  <c r="W16" i="1" s="1"/>
  <c r="U15" i="1"/>
  <c r="O15" i="1"/>
  <c r="O24" i="1" s="1"/>
  <c r="U14" i="1"/>
  <c r="U24" i="1" s="1"/>
  <c r="O14" i="1"/>
  <c r="V14" i="1" s="1"/>
  <c r="W14" i="1" l="1"/>
  <c r="O25" i="1"/>
  <c r="O26" i="1" s="1"/>
  <c r="E10" i="1" s="1"/>
  <c r="V15" i="1"/>
  <c r="W15" i="1" s="1"/>
  <c r="V24" i="1" l="1"/>
  <c r="W24" i="1" s="1"/>
</calcChain>
</file>

<file path=xl/sharedStrings.xml><?xml version="1.0" encoding="utf-8"?>
<sst xmlns="http://schemas.openxmlformats.org/spreadsheetml/2006/main" count="76" uniqueCount="76">
  <si>
    <t xml:space="preserve"> *   견 적 서   *</t>
  </si>
  <si>
    <t>견적일자</t>
  </si>
  <si>
    <t>공
급
자</t>
  </si>
  <si>
    <t>상  호</t>
  </si>
  <si>
    <t>큐브렉스</t>
  </si>
  <si>
    <t>쏠트메이커스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</si>
  <si>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</si>
  <si>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</si>
  <si>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</si>
  <si>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</si>
  <si>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</si>
  <si>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</si>
  <si>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</si>
  <si>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</si>
  <si>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</si>
  <si>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</si>
  <si>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</si>
  <si>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</si>
  <si>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</si>
  <si>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</si>
  <si>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</si>
  <si>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</si>
  <si>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</si>
  <si>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</si>
  <si>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</si>
  <si>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</si>
  <si>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</si>
  <si>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</si>
  <si>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</si>
  <si>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</si>
  <si>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</si>
  <si>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</si>
  <si>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</si>
  <si>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</si>
  <si>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</si>
  <si>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</si>
  <si>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</si>
  <si>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</si>
  <si>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</si>
  <si>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</si>
  <si>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</si>
  <si>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</si>
  <si>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</si>
  <si>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</si>
  <si>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</si>
  <si>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V-Ray Premium (floating, annual) - New</t>
  </si>
  <si>
    <t>V-Ray Render Node 5 pack Annual - New</t>
  </si>
  <si>
    <t>V-Ray Render Node 10 pack Annual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</si>
  <si>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</si>
  <si>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</si>
  <si>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</si>
  <si>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</si>
  <si>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</si>
  <si>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</si>
  <si>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</si>
  <si>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</si>
  <si>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</si>
  <si>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</si>
  <si>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</si>
  <si>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</si>
  <si>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</si>
  <si>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</si>
  <si>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</si>
  <si>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</si>
  <si>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</si>
  <si>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</si>
  <si>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</si>
  <si>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</si>
  <si>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</si>
  <si>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</si>
  <si>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</si>
  <si>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</si>
  <si>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</si>
  <si>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허성호 대표님 귀하</t>
    <phoneticPr fontId="2" type="noConversion"/>
  </si>
  <si>
    <t>vfx.huh@gmail.com</t>
    <phoneticPr fontId="2" type="noConversion"/>
  </si>
  <si>
    <t>010-2866-2014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</si>
</sst>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fx.huh@gmail.com" TargetMode="External"/><Relationship Id="rId1" Type="http://schemas.openxmlformats.org/officeDocument/2006/relationships/hyperlink" Target="mailto:vfx.huh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5" sqref="D15:K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45883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 t="s">
        <v>73</v>
      </c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 t="s">
        <v>75</v>
      </c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 t="s">
        <v>74</v>
      </c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5005000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2</v>
      </c>
      <c r="M14" s="100">
        <v>830000</v>
      </c>
      <c r="N14" s="80"/>
      <c r="O14" s="87">
        <f t="shared" ref="O14:O23" si="0">M14*L14</f>
        <v>1660000</v>
      </c>
      <c r="P14" s="86"/>
      <c r="Q14" s="64"/>
      <c r="T14" s="39">
        <v>741000</v>
      </c>
      <c r="U14" s="39">
        <f>T14*L14</f>
        <v>1482000</v>
      </c>
      <c r="V14" s="41">
        <f t="shared" ref="V14:V23" si="1">O14-U14</f>
        <v>178000</v>
      </c>
      <c r="W14" s="42">
        <f t="shared" ref="W14:W24" si="2">V14/O14</f>
        <v>0.10722891566265061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 t="s">
        <v>46</v>
      </c>
      <c r="E15" s="79"/>
      <c r="F15" s="79"/>
      <c r="G15" s="79"/>
      <c r="H15" s="79"/>
      <c r="I15" s="79"/>
      <c r="J15" s="79"/>
      <c r="K15" s="80"/>
      <c r="L15" s="38">
        <v>1</v>
      </c>
      <c r="M15" s="100">
        <v>1050000</v>
      </c>
      <c r="N15" s="80"/>
      <c r="O15" s="87">
        <f t="shared" si="0"/>
        <v>1050000</v>
      </c>
      <c r="P15" s="86"/>
      <c r="Q15" s="64"/>
      <c r="T15" s="39">
        <v>910000</v>
      </c>
      <c r="U15" s="40">
        <f t="shared" ref="U15:U23" si="3">L15*T15</f>
        <v>910000</v>
      </c>
      <c r="V15" s="41">
        <f t="shared" si="1"/>
        <v>140000</v>
      </c>
      <c r="W15" s="42">
        <f t="shared" si="2"/>
        <v>0.13333333333333333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 t="s">
        <v>47</v>
      </c>
      <c r="E16" s="79"/>
      <c r="F16" s="79"/>
      <c r="G16" s="79"/>
      <c r="H16" s="79"/>
      <c r="I16" s="79"/>
      <c r="J16" s="79"/>
      <c r="K16" s="80"/>
      <c r="L16" s="38">
        <v>1</v>
      </c>
      <c r="M16" s="100">
        <v>1840000</v>
      </c>
      <c r="N16" s="80"/>
      <c r="O16" s="87">
        <f t="shared" si="0"/>
        <v>1840000</v>
      </c>
      <c r="P16" s="86"/>
      <c r="Q16" s="64"/>
      <c r="T16" s="39">
        <v>1617000</v>
      </c>
      <c r="U16" s="40">
        <f t="shared" si="3"/>
        <v>1617000</v>
      </c>
      <c r="V16" s="41">
        <f t="shared" si="1"/>
        <v>223000</v>
      </c>
      <c r="W16" s="42">
        <f t="shared" si="2"/>
        <v>0.12119565217391304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48</v>
      </c>
      <c r="C24" s="112"/>
      <c r="D24" s="149" t="s">
        <v>49</v>
      </c>
      <c r="E24" s="130"/>
      <c r="F24" s="130"/>
      <c r="G24" s="130"/>
      <c r="H24" s="130"/>
      <c r="I24" s="129" t="s">
        <v>50</v>
      </c>
      <c r="J24" s="130"/>
      <c r="K24" s="130"/>
      <c r="L24" s="131"/>
      <c r="M24" s="103" t="s">
        <v>51</v>
      </c>
      <c r="N24" s="86"/>
      <c r="O24" s="144">
        <f>SUM(O14:P23)</f>
        <v>4550000</v>
      </c>
      <c r="P24" s="86"/>
      <c r="Q24" s="48"/>
      <c r="T24" s="39">
        <f>SUM(T14:T23)</f>
        <v>3268000</v>
      </c>
      <c r="U24" s="39">
        <f>SUM(U14:U23)</f>
        <v>4009000</v>
      </c>
      <c r="V24" s="39">
        <f>SUM(V14:V23)</f>
        <v>541000</v>
      </c>
      <c r="W24" s="42">
        <f t="shared" si="2"/>
        <v>0.1189010989010989</v>
      </c>
      <c r="X24" s="43"/>
      <c r="Y24" s="44"/>
    </row>
    <row r="25" spans="2:25" ht="21" customHeight="1" x14ac:dyDescent="0.45">
      <c r="B25" s="147"/>
      <c r="C25" s="148"/>
      <c r="D25" s="140" t="s">
        <v>52</v>
      </c>
      <c r="E25" s="83"/>
      <c r="F25" s="83"/>
      <c r="G25" s="83"/>
      <c r="H25" s="83"/>
      <c r="I25" s="83"/>
      <c r="J25" s="83"/>
      <c r="K25" s="83"/>
      <c r="L25" s="141"/>
      <c r="M25" s="103" t="s">
        <v>53</v>
      </c>
      <c r="N25" s="86"/>
      <c r="O25" s="97">
        <f>O24*0.1</f>
        <v>455000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54</v>
      </c>
      <c r="N26" s="86"/>
      <c r="O26" s="97">
        <f>SUM(O24:P25)</f>
        <v>5005000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55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56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57</v>
      </c>
      <c r="C33" s="89"/>
      <c r="D33" s="89"/>
      <c r="E33" s="86"/>
      <c r="F33" s="78"/>
      <c r="G33" s="79"/>
      <c r="H33" s="80"/>
      <c r="I33" s="126" t="s">
        <v>58</v>
      </c>
      <c r="J33" s="89"/>
      <c r="K33" s="78"/>
      <c r="L33" s="79"/>
      <c r="M33" s="80"/>
      <c r="N33" s="88" t="s">
        <v>59</v>
      </c>
      <c r="O33" s="86"/>
      <c r="P33" s="118"/>
      <c r="Q33" s="80"/>
      <c r="W33" s="52"/>
    </row>
    <row r="34" spans="1:23" s="51" customFormat="1" ht="25.5" customHeight="1" x14ac:dyDescent="0.45">
      <c r="B34" s="88" t="s">
        <v>60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61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62</v>
      </c>
      <c r="C36" s="89"/>
      <c r="D36" s="89"/>
      <c r="E36" s="86"/>
      <c r="F36" s="78"/>
      <c r="G36" s="79"/>
      <c r="H36" s="79"/>
      <c r="I36" s="79"/>
      <c r="J36" s="80"/>
      <c r="K36" s="116" t="s">
        <v>63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64</v>
      </c>
      <c r="C37" s="111"/>
      <c r="D37" s="112"/>
      <c r="E37" s="151" t="s">
        <v>65</v>
      </c>
      <c r="F37" s="86"/>
      <c r="G37" s="125"/>
      <c r="H37" s="79"/>
      <c r="I37" s="79"/>
      <c r="J37" s="79"/>
      <c r="K37" s="80"/>
      <c r="L37" s="88" t="s">
        <v>66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67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68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69</v>
      </c>
      <c r="I42" s="83"/>
      <c r="J42" s="83"/>
      <c r="K42" s="83"/>
      <c r="L42" s="83"/>
      <c r="M42" s="83"/>
      <c r="N42" s="127" t="s">
        <v>70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71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72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hyperlinks>
    <hyperlink ref="E7" r:id="rId1" display="vfx.huh@gmail.com" xr:uid="{E9CC9A99-C448-4B32-A7A1-DEBDEB4A7D3F}"/>
    <hyperlink ref="E8" r:id="rId2" xr:uid="{1C49B20A-F767-4E87-BBFB-3C3CF99591FB}"/>
  </hyperlinks>
  <printOptions horizontalCentered="1" verticalCentered="1"/>
  <pageMargins left="0" right="0" top="0" bottom="0" header="0" footer="0"/>
  <pageSetup paperSize="9" scale="72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95DBC1BB-5116-4F7E-880D-09BEA1BC1C29}"/>
</file>

<file path=customXml/itemProps2.xml><?xml version="1.0" encoding="utf-8"?>
<ds:datastoreItem xmlns:ds="http://schemas.openxmlformats.org/officeDocument/2006/customXml" ds:itemID="{C5C9A2C4-4A30-487C-A658-8FA107340879}"/>
</file>

<file path=customXml/itemProps3.xml><?xml version="1.0" encoding="utf-8"?>
<ds:datastoreItem xmlns:ds="http://schemas.openxmlformats.org/officeDocument/2006/customXml" ds:itemID="{0654970C-E492-4C92-9B72-DF2BCEDD62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2025-08-14T00:57:34Z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