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4" documentId="11_4D4A2A516BA85A5115CD2600CD04389B0EDBA100" xr6:coauthVersionLast="47" xr6:coauthVersionMax="47" xr10:uidLastSave="{E3EA4C54-C29D-424D-8C06-705FFE72AA3C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O15" i="1"/>
  <c r="V15" i="1" s="1"/>
  <c r="W14" i="1"/>
  <c r="V14" i="1"/>
  <c r="U14" i="1"/>
  <c r="U24" i="1" s="1"/>
  <c r="O14" i="1"/>
  <c r="V24" i="1" l="1"/>
  <c r="W15" i="1"/>
  <c r="O24" i="1"/>
  <c r="O26" i="1" l="1"/>
  <c r="E10" i="1" s="1"/>
  <c r="O25" i="1"/>
  <c r="W24" i="1"/>
</calcChain>
</file>

<file path=xl/sharedStrings.xml><?xml version="1.0" encoding="utf-8"?>
<sst xmlns="http://schemas.openxmlformats.org/spreadsheetml/2006/main" count="74" uniqueCount="74">
  <si>
    <t xml:space="preserve"> *   견 적 서   *</t>
  </si>
  <si>
    <t>견적일자</t>
  </si>
  <si>
    <t>공
급
자</t>
  </si>
  <si>
    <t>상  호</t>
  </si>
  <si>
    <t>큐브렉스</t>
  </si>
  <si>
    <t>오스테오시스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</si>
  <si>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</si>
  <si>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</si>
  <si>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</si>
  <si>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</si>
  <si>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</si>
  <si>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</si>
  <si>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</si>
  <si>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</si>
  <si>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</si>
  <si>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</si>
  <si>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</si>
  <si>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</si>
  <si>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</si>
  <si>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</si>
  <si>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</si>
  <si>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</si>
  <si>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</si>
  <si>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</si>
  <si>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</si>
  <si>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</si>
  <si>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</si>
  <si>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</si>
  <si>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</si>
  <si>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</si>
  <si>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</si>
  <si>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</si>
  <si>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</si>
  <si>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</si>
  <si>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</si>
  <si>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</si>
  <si>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</si>
  <si>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</si>
  <si>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</si>
  <si>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</si>
  <si>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</si>
  <si>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</si>
  <si>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</si>
  <si>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</si>
  <si>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</si>
  <si>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TeamViewer Corporate License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</si>
  <si>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</si>
  <si>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</si>
  <si>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</si>
  <si>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</si>
  <si>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</si>
  <si>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</si>
  <si>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</si>
  <si>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</si>
  <si>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</si>
  <si>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</si>
  <si>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</si>
  <si>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</si>
  <si>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</si>
  <si>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</si>
  <si>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</si>
  <si>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</si>
  <si>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</si>
  <si>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</si>
  <si>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</si>
  <si>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</si>
  <si>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</si>
  <si>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</si>
  <si>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</si>
  <si>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</si>
  <si>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</si>
  <si>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이진수 님 귀하</t>
    <phoneticPr fontId="2" type="noConversion"/>
  </si>
  <si>
    <t>010-9899-8418</t>
    <phoneticPr fontId="2" type="noConversion"/>
  </si>
  <si>
    <t>bluees58@osteosys.com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</si>
</sst>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luees58@osteosy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D15" sqref="D15:K1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45881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 t="s">
        <v>71</v>
      </c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 t="s">
        <v>72</v>
      </c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 t="s">
        <v>73</v>
      </c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2189000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1990000</v>
      </c>
      <c r="N14" s="80"/>
      <c r="O14" s="87">
        <f t="shared" ref="O14:O23" si="0">M14*L14</f>
        <v>1990000</v>
      </c>
      <c r="P14" s="86"/>
      <c r="Q14" s="64"/>
      <c r="T14" s="39">
        <v>1835000</v>
      </c>
      <c r="U14" s="39">
        <f>T14*L14</f>
        <v>1835000</v>
      </c>
      <c r="V14" s="41">
        <f t="shared" ref="V14:V23" si="1">O14-U14</f>
        <v>155000</v>
      </c>
      <c r="W14" s="42">
        <f t="shared" ref="W14:W24" si="2">V14/O14</f>
        <v>7.7889447236180909E-2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1990000</v>
      </c>
      <c r="P24" s="86"/>
      <c r="Q24" s="48"/>
      <c r="T24" s="39">
        <f>SUM(T14:T23)</f>
        <v>1835000</v>
      </c>
      <c r="U24" s="39">
        <f>SUM(U14:U23)</f>
        <v>1835000</v>
      </c>
      <c r="V24" s="39">
        <f>SUM(V14:V23)</f>
        <v>155000</v>
      </c>
      <c r="W24" s="42">
        <f t="shared" si="2"/>
        <v>7.7889447236180909E-2</v>
      </c>
      <c r="X24" s="43"/>
      <c r="Y24" s="44"/>
    </row>
    <row r="25" spans="2:25" ht="21" customHeight="1" x14ac:dyDescent="0.45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199000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2189000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 x14ac:dyDescent="0.45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hyperlinks>
    <hyperlink ref="E8" r:id="rId1" xr:uid="{74CDE577-40C8-4808-A7BF-CFF36A0D7BBA}"/>
  </hyperlinks>
  <printOptions horizontalCentered="1" verticalCentered="1"/>
  <pageMargins left="0" right="0" top="0" bottom="0" header="0" footer="0"/>
  <pageSetup paperSize="9" scale="72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8A8E96-88CD-4B59-ACDB-245E57741E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6A014A-9FD3-4949-AD99-AD59CD2C8A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be9c2-0c1a-4717-9f14-d7720159b530"/>
    <ds:schemaRef ds:uri="9c3c5594-c170-4f6a-b3bd-ec9b74c7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72BE2E-4FD5-445D-B633-B9AC1BC777B1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2025-08-12T02:12:23Z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