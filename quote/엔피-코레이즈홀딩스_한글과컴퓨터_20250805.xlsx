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BF0928B968089B0D70DBB0A9D54610970EDBA12E" xr6:coauthVersionLast="47" xr6:coauthVersionMax="47" xr10:uidLastSave="{9255013E-7C90-4A2F-8B09-C216522D2588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O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V16" i="1"/>
  <c r="W16" i="1" s="1"/>
  <c r="U16" i="1"/>
  <c r="O16" i="1"/>
  <c r="U15" i="1"/>
  <c r="U24" i="1" s="1"/>
  <c r="O15" i="1"/>
  <c r="V15" i="1" s="1"/>
  <c r="W15" i="1" s="1"/>
  <c r="W14" i="1"/>
  <c r="V14" i="1"/>
  <c r="U14" i="1"/>
  <c r="O14" i="1"/>
  <c r="V24" i="1" l="1"/>
  <c r="W24" i="1" s="1"/>
  <c r="O25" i="1"/>
  <c r="O26" i="1" s="1"/>
  <c r="E10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<sst xmlns="http://schemas.openxmlformats.org/spreadsheetml/2006/main" count="71" uniqueCount="71">
  <si>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</si>
  <si>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</si>
  <si>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</si>
  <si>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</si>
  <si>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</si>
  <si>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엔피 - 코레이즈홀딩스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</si>
  <si>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</si>
  <si>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</si>
  <si>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</si>
  <si>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</si>
  <si>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</si>
  <si>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</si>
  <si>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</si>
  <si>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</si>
  <si>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</si>
  <si>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</si>
  <si>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</si>
  <si>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</si>
  <si>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</si>
  <si>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</si>
  <si>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</si>
  <si>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</si>
  <si>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</si>
  <si>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</si>
  <si>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</si>
  <si>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</si>
  <si>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</si>
  <si>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</si>
  <si>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</si>
  <si>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</si>
  <si>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</si>
  <si>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</si>
  <si>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</si>
  <si>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</si>
  <si>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</si>
  <si>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</si>
  <si>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</si>
  <si>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</si>
  <si>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</si>
  <si>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</si>
  <si>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</si>
  <si>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</si>
  <si>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</si>
  <si>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</si>
  <si>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</si>
  <si>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한컴독스 ALA 추가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</si>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</sst>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4" sqref="D14:K14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45874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27500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25000</v>
      </c>
      <c r="N14" s="80"/>
      <c r="O14" s="87">
        <f t="shared" ref="O14:O23" si="0">M14*L14</f>
        <v>25000</v>
      </c>
      <c r="P14" s="86"/>
      <c r="Q14" s="64"/>
      <c r="T14" s="39">
        <v>24000</v>
      </c>
      <c r="U14" s="39">
        <f>T14*L14</f>
        <v>24000</v>
      </c>
      <c r="V14" s="41">
        <f t="shared" ref="V14:V23" si="1">O14-U14</f>
        <v>1000</v>
      </c>
      <c r="W14" s="42">
        <f t="shared" ref="W14:W24" si="2">V14/O14</f>
        <v>0.04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25000</v>
      </c>
      <c r="P24" s="86"/>
      <c r="Q24" s="48"/>
      <c r="T24" s="39">
        <f>SUM(T14:T23)</f>
        <v>24000</v>
      </c>
      <c r="U24" s="39">
        <f>SUM(U14:U23)</f>
        <v>24000</v>
      </c>
      <c r="V24" s="39">
        <f>SUM(V14:V23)</f>
        <v>1000</v>
      </c>
      <c r="W24" s="42">
        <f t="shared" si="2"/>
        <v>0.04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2500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27500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509F61-4F35-45D1-B598-E10C4CF853A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244FCEB7-2CA3-481F-8FE1-C161A94B0F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74F85F-9069-459A-BC8E-6C78283426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