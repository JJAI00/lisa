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6" documentId="11_B1B4F7044AA10799AA4DC0D20A2BD0B127B32CF6" xr6:coauthVersionLast="47" xr6:coauthVersionMax="47" xr10:uidLastSave="{F0C30CDC-17CC-47D8-9F8B-4C612EBA629E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O15" i="1"/>
  <c r="U14" i="1"/>
  <c r="O14" i="1"/>
  <c r="O24" i="1" l="1"/>
  <c r="O25" i="1" s="1"/>
  <c r="O26" i="1" s="1"/>
  <c r="E10" i="1" s="1"/>
  <c r="V14" i="1"/>
  <c r="W14" i="1"/>
  <c r="V15" i="1"/>
  <c r="W15" i="1" s="1"/>
  <c r="U24" i="1"/>
  <c r="V24" i="1" l="1"/>
  <c r="W24" i="1" s="1"/>
</calcChain>
</file>

<file path=xl/sharedStrings.xml><?xml version="1.0" encoding="utf-8"?>
<sst xmlns="http://schemas.openxmlformats.org/spreadsheetml/2006/main" count="74" uniqueCount="74">
  <si>
    <t xml:space="preserve"> *   견 적 서   *</t>
  </si>
  <si>
    <t>견적일자</t>
  </si>
  <si>
    <t>공
급
자</t>
  </si>
  <si>
    <t>상  호</t>
  </si>
  <si>
    <t>큐브렉스</t>
  </si>
  <si>
    <t>웹젠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</si>
  <si>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</si>
  <si>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</si>
  <si>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</si>
  <si>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</si>
  <si>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</si>
  <si>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</si>
  <si>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</si>
  <si>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</si>
  <si>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</si>
  <si>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</si>
  <si>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</si>
  <si>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</si>
  <si>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</si>
  <si>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</si>
  <si>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</si>
  <si>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</si>
  <si>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</si>
  <si>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</si>
  <si>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</si>
  <si>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</si>
  <si>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</si>
  <si>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</si>
  <si>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</si>
  <si>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</si>
  <si>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</si>
  <si>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</si>
  <si>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</si>
  <si>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</si>
  <si>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</si>
  <si>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</si>
  <si>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</si>
  <si>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</si>
  <si>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</si>
  <si>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</si>
  <si>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</si>
  <si>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</si>
  <si>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</si>
  <si>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</si>
  <si>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</si>
  <si>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RIZOMUV VIRTUAL SPACES Nodelocked Pro Rent - 12 months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</si>
  <si>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</si>
  <si>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</si>
  <si>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</si>
  <si>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</si>
  <si>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</si>
  <si>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</si>
  <si>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</si>
  <si>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</si>
  <si>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</si>
  <si>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</si>
  <si>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</si>
  <si>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</si>
  <si>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</si>
  <si>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</si>
  <si>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</si>
  <si>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</si>
  <si>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</si>
  <si>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</si>
  <si>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</si>
  <si>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</si>
  <si>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</si>
  <si>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</si>
  <si>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</si>
  <si>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</si>
  <si>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</si>
  <si>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이정현 선임님 귀하</t>
    <phoneticPr fontId="2" type="noConversion"/>
  </si>
  <si>
    <t>031-627-6764</t>
    <phoneticPr fontId="2" type="noConversion"/>
  </si>
  <si>
    <t>junghyunlee@webzen.com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</si>
</sst>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nghyunlee@webz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D16" sqref="D16:K16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45881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 t="s">
        <v>71</v>
      </c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 t="s">
        <v>72</v>
      </c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 t="s">
        <v>73</v>
      </c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1265000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2</v>
      </c>
      <c r="M14" s="100">
        <v>575000</v>
      </c>
      <c r="N14" s="80"/>
      <c r="O14" s="87">
        <f t="shared" ref="O14:O23" si="0">M14*L14</f>
        <v>1150000</v>
      </c>
      <c r="P14" s="86"/>
      <c r="Q14" s="64"/>
      <c r="T14" s="39">
        <v>542765</v>
      </c>
      <c r="U14" s="39">
        <f>T14*L14</f>
        <v>1085530</v>
      </c>
      <c r="V14" s="41">
        <f t="shared" ref="V14:V23" si="1">O14-U14</f>
        <v>64470</v>
      </c>
      <c r="W14" s="42">
        <f t="shared" ref="W14:W24" si="2">V14/O14</f>
        <v>5.6060869565217393E-2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1150000</v>
      </c>
      <c r="P24" s="86"/>
      <c r="Q24" s="48"/>
      <c r="T24" s="39">
        <f>SUM(T14:T23)</f>
        <v>542765</v>
      </c>
      <c r="U24" s="39">
        <f>SUM(U14:U23)</f>
        <v>1085530</v>
      </c>
      <c r="V24" s="39">
        <f>SUM(V14:V23)</f>
        <v>64470</v>
      </c>
      <c r="W24" s="42">
        <f t="shared" si="2"/>
        <v>5.6060869565217393E-2</v>
      </c>
      <c r="X24" s="43"/>
      <c r="Y24" s="44"/>
    </row>
    <row r="25" spans="2:25" ht="21" customHeight="1" x14ac:dyDescent="0.45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115000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1265000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 x14ac:dyDescent="0.45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hyperlinks>
    <hyperlink ref="E8" r:id="rId1" xr:uid="{D6DDFEDC-1FE8-49E2-9374-20F1924C5C3D}"/>
  </hyperlinks>
  <printOptions horizontalCentered="1" verticalCentered="1"/>
  <pageMargins left="0" right="0" top="0" bottom="0" header="0" footer="0"/>
  <pageSetup paperSize="9" scale="72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5BE7C873-9F3C-4885-BB2F-340EBB705070}"/>
</file>

<file path=customXml/itemProps2.xml><?xml version="1.0" encoding="utf-8"?>
<ds:datastoreItem xmlns:ds="http://schemas.openxmlformats.org/officeDocument/2006/customXml" ds:itemID="{1F262402-08CB-44C7-B6BE-15A3C274FD68}"/>
</file>

<file path=customXml/itemProps3.xml><?xml version="1.0" encoding="utf-8"?>
<ds:datastoreItem xmlns:ds="http://schemas.openxmlformats.org/officeDocument/2006/customXml" ds:itemID="{39AE5C2C-34A2-4D42-A279-C9B45ACB6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2025-08-11T23:59:30Z</cp:lastPrinted>
  <dcterms:created xsi:type="dcterms:W3CDTF">2021-12-09T03:53:36Z</dcterms:created>
  <dcterms:modified xsi:type="dcterms:W3CDTF">2025-08-12T00:00:16Z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