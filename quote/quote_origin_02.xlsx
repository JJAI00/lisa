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86" documentId="8_{806A1CBC-8FC2-4EA0-8B4A-B8A71DC6F27C}" xr6:coauthVersionLast="47" xr6:coauthVersionMax="47" xr10:uidLastSave="{2CF6D228-4416-4A02-B3CF-3B2058EF112C}"/>
  <bookViews>
    <workbookView xWindow="34404" yWindow="-156" windowWidth="31032" windowHeight="16872" xr2:uid="{D7EB4058-C36A-4A39-9A47-407FE33FCCE8}"/>
  </bookViews>
  <sheets>
    <sheet name="Sheet1" sheetId="8" r:id="rId1"/>
  </sheets>
  <definedNames>
    <definedName name="_xlnm.Print_Area" localSheetId="0">Sheet1!$A$1:$R$49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V16" i="8" s="1"/>
  <c r="W16" i="8" s="1"/>
  <c r="O17" i="8"/>
  <c r="O18" i="8"/>
  <c r="O19" i="8"/>
  <c r="O20" i="8"/>
  <c r="O21" i="8"/>
  <c r="O22" i="8"/>
  <c r="U14" i="8"/>
  <c r="V14" i="8" s="1"/>
  <c r="W14" i="8" s="1"/>
  <c r="U15" i="8"/>
  <c r="U16" i="8"/>
  <c r="U17" i="8"/>
  <c r="V17" i="8"/>
  <c r="W17" i="8" s="1"/>
  <c r="U18" i="8"/>
  <c r="V18" i="8" s="1"/>
  <c r="W18" i="8" s="1"/>
  <c r="U19" i="8"/>
  <c r="V19" i="8" s="1"/>
  <c r="W19" i="8" s="1"/>
  <c r="U20" i="8"/>
  <c r="V20" i="8" s="1"/>
  <c r="W20" i="8" s="1"/>
  <c r="U21" i="8"/>
  <c r="U22" i="8"/>
  <c r="O23" i="8"/>
  <c r="V23" i="8" s="1"/>
  <c r="W23" i="8" s="1"/>
  <c r="U23" i="8"/>
  <c r="T24" i="8"/>
  <c r="V21" i="8" l="1"/>
  <c r="W21" i="8" s="1"/>
  <c r="V15" i="8"/>
  <c r="W15" i="8" s="1"/>
  <c r="V22" i="8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<sst xmlns="http://schemas.openxmlformats.org/spreadsheetml/2006/main" count="74" uniqueCount="74">
  <si>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</si>
  <si>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</si>
  <si>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</si>
  <si>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</si>
  <si>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</si>
  <si>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</si>
  <si>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</si>
  <si>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</si>
  <si>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</si>
  <si>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</si>
  <si>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</si>
  <si>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</si>
  <si>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</si>
  <si>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</si>
  <si>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</si>
  <si>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</si>
  <si>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</si>
  <si>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</si>
  <si>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3" type="noConversion"/>
  </si>
  <si>
    <t>* 폐사와 거래에 감사드리며, 하기와 같이 견적드립니다.</t>
  </si>
  <si>
    <t>기존 견적서와 서식이 동일하게 적용된 양식입니다.</t>
    <phoneticPr fontId="3" type="noConversion"/>
  </si>
  <si>
    <t>Order Detail</t>
  </si>
  <si>
    <t xml:space="preserve">매출단가 / 매입단가를 입력하면 합계액,이익,이익율이 자동 계산됩니다. </t>
    <phoneticPr fontId="3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</si>
  <si>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</si>
  <si>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</si>
  <si>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</si>
  <si>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</si>
  <si>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</si>
  <si>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</si>
  <si>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3" type="noConversion"/>
  </si>
  <si>
    <t>매입합계</t>
    <phoneticPr fontId="3" type="noConversion"/>
  </si>
  <si>
    <t>이익</t>
    <phoneticPr fontId="3" type="noConversion"/>
  </si>
  <si>
    <t>이익률</t>
    <phoneticPr fontId="3" type="noConversion"/>
  </si>
  <si>
    <t>매입처</t>
    <phoneticPr fontId="3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</si>
  <si>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</si>
  <si>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</si>
  <si>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</si>
  <si>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</si>
  <si>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</si>
  <si>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</si>
  <si>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</si>
  <si>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</si>
  <si>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</si>
  <si>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</si>
  <si>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</si>
  <si>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</si>
  <si>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</si>
  <si>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</si>
  <si>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</si>
  <si>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</si>
  <si>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</si>
  <si>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</si>
  <si>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</si>
  <si>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</si>
  <si>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</si>
  <si>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</si>
  <si>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</si>
  <si>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3" type="noConversion"/>
  </si>
  <si>
    <t>이메일</t>
    <phoneticPr fontId="3" type="noConversion"/>
  </si>
  <si>
    <t xml:space="preserve"> - 견적 유효 기간 2주일.</t>
    <phoneticPr fontId="3" type="noConversion"/>
  </si>
  <si>
    <t>연락처</t>
    <phoneticPr fontId="3" type="noConversion"/>
  </si>
  <si>
    <t xml:space="preserve">담 당 자 </t>
    <phoneticPr fontId="3" type="noConversion"/>
  </si>
  <si>
    <t>* 지급 조건 : 익월 말 현금</t>
    <phoneticPr fontId="3" type="noConversion"/>
  </si>
  <si>
    <t>서울시 성동구 연무장5가길 7 현대테라스타워 w904호</t>
    <phoneticPr fontId="3" type="noConversion"/>
  </si>
  <si>
    <t>큐브렉스</t>
  </si>
  <si>
    <t>담당자</t>
  </si>
  <si>
    <t>김한경 팀장</t>
  </si>
  <si>
    <t>010-3163-0955</t>
  </si>
  <si>
    <t>kimhk@qvrex.co.kr</t>
    <phoneticPr fontId="3" type="noConversion"/>
  </si>
  <si>
    <t>수량</t>
    <phoneticPr fontId="3" type="noConversion"/>
  </si>
  <si>
    <t>단가</t>
    <phoneticPr fontId="3" type="noConversion"/>
  </si>
  <si>
    <t>원가</t>
    <phoneticPr fontId="3" type="noConversion"/>
  </si>
  <si>
    <t>합계</t>
    <phoneticPr fontId="3" type="noConversion"/>
  </si>
  <si>
    <t>원가계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</si>
</sst>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8" x14ac:knownFonts="1"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/>
  </cellStyleXfs>
  <cellXfs count="177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6" fillId="0" borderId="0" xfId="3" applyFill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vertical="center" indent="1"/>
    </xf>
    <xf numFmtId="0" fontId="14" fillId="0" borderId="0" xfId="0" applyFont="1" applyAlignment="1">
      <alignment horizontal="distributed" justifyLastLine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 applyProtection="1">
      <alignment vertical="center" shrinkToFit="1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left" vertical="center" indent="1" shrinkToFit="1"/>
      <protection locked="0"/>
    </xf>
    <xf numFmtId="0" fontId="14" fillId="0" borderId="0" xfId="0" applyFont="1" applyProtection="1">
      <alignment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left" vertical="center" indent="1"/>
      <protection locked="0"/>
    </xf>
    <xf numFmtId="0" fontId="15" fillId="0" borderId="0" xfId="0" applyFont="1" applyAlignment="1">
      <alignment horizontal="left" indent="2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6" fillId="0" borderId="13" xfId="0" applyFont="1" applyBorder="1" applyAlignment="1" applyProtection="1">
      <alignment horizontal="center" vertical="center"/>
      <protection locked="0"/>
    </xf>
    <xf numFmtId="0" fontId="16" fillId="0" borderId="13" xfId="0" applyFont="1" applyBorder="1" applyAlignment="1" applyProtection="1">
      <alignment horizontal="left" vertical="center"/>
      <protection locked="0"/>
    </xf>
    <xf numFmtId="0" fontId="14" fillId="0" borderId="0" xfId="0" applyFont="1" applyAlignment="1"/>
    <xf numFmtId="0" fontId="17" fillId="0" borderId="0" xfId="0" applyFont="1">
      <alignment vertical="center"/>
    </xf>
    <xf numFmtId="0" fontId="17" fillId="0" borderId="0" xfId="0" applyFont="1" applyAlignment="1">
      <alignment vertical="center" shrinkToFit="1"/>
    </xf>
    <xf numFmtId="0" fontId="17" fillId="0" borderId="1" xfId="0" applyFont="1" applyBorder="1" applyAlignment="1" applyProtection="1">
      <alignment horizontal="left" vertical="center" shrinkToFit="1"/>
      <protection locked="0"/>
    </xf>
    <xf numFmtId="0" fontId="19" fillId="0" borderId="0" xfId="0" applyFont="1">
      <alignment vertical="center"/>
    </xf>
    <xf numFmtId="0" fontId="20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77" fontId="21" fillId="0" borderId="10" xfId="0" applyNumberFormat="1" applyFont="1" applyBorder="1" applyAlignment="1" applyProtection="1">
      <alignment horizontal="center" vertical="center"/>
      <protection locked="0"/>
    </xf>
    <xf numFmtId="41" fontId="21" fillId="0" borderId="10" xfId="1" applyFont="1" applyFill="1" applyBorder="1" applyAlignment="1" applyProtection="1">
      <alignment vertical="center"/>
      <protection locked="0"/>
    </xf>
    <xf numFmtId="41" fontId="21" fillId="0" borderId="9" xfId="1" applyFont="1" applyFill="1" applyBorder="1" applyAlignment="1" applyProtection="1">
      <alignment vertical="center"/>
      <protection locked="0"/>
    </xf>
    <xf numFmtId="41" fontId="21" fillId="0" borderId="12" xfId="1" applyFont="1" applyFill="1" applyBorder="1" applyAlignment="1" applyProtection="1">
      <alignment vertical="center"/>
      <protection locked="0"/>
    </xf>
    <xf numFmtId="10" fontId="14" fillId="0" borderId="10" xfId="2" applyNumberFormat="1" applyFont="1" applyFill="1" applyBorder="1" applyAlignment="1" applyProtection="1">
      <alignment horizontal="center" vertical="center"/>
      <protection locked="0"/>
    </xf>
    <xf numFmtId="9" fontId="21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7" fillId="0" borderId="10" xfId="1" applyFont="1" applyFill="1" applyBorder="1" applyAlignment="1" applyProtection="1">
      <alignment horizontal="center" vertical="center"/>
      <protection locked="0"/>
    </xf>
    <xf numFmtId="24" fontId="21" fillId="0" borderId="9" xfId="1" applyNumberFormat="1" applyFont="1" applyFill="1" applyBorder="1" applyAlignment="1" applyProtection="1">
      <alignment vertical="center"/>
      <protection locked="0"/>
    </xf>
    <xf numFmtId="41" fontId="7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1" fillId="0" borderId="0" xfId="0" applyNumberFormat="1" applyFont="1" applyAlignment="1">
      <alignment horizontal="center" vertical="center"/>
    </xf>
    <xf numFmtId="41" fontId="7" fillId="0" borderId="0" xfId="1" applyFont="1" applyBorder="1" applyProtection="1">
      <alignment vertical="center"/>
    </xf>
    <xf numFmtId="0" fontId="6" fillId="0" borderId="0" xfId="3" applyProtection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>
      <alignment horizontal="right" vertical="center"/>
    </xf>
    <xf numFmtId="0" fontId="10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distributed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1" fontId="10" fillId="0" borderId="10" xfId="1" applyFont="1" applyFill="1" applyBorder="1" applyAlignment="1" applyProtection="1">
      <alignment horizontal="center" vertical="center" wrapText="1"/>
      <protection locked="0"/>
    </xf>
    <xf numFmtId="9" fontId="21" fillId="0" borderId="9" xfId="1" applyNumberFormat="1" applyFont="1" applyFill="1" applyBorder="1" applyAlignment="1" applyProtection="1">
      <alignment vertical="center" wrapText="1"/>
      <protection locked="0"/>
    </xf>
    <xf numFmtId="24" fontId="0" fillId="0" borderId="0" xfId="0" applyNumberFormat="1">
      <alignment vertical="center"/>
    </xf>
    <xf numFmtId="177" fontId="21" fillId="0" borderId="6" xfId="0" applyNumberFormat="1" applyFont="1" applyBorder="1" applyAlignment="1" applyProtection="1">
      <alignment horizontal="center" vertical="center"/>
      <protection locked="0"/>
    </xf>
    <xf numFmtId="41" fontId="24" fillId="0" borderId="10" xfId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25" fillId="0" borderId="10" xfId="0" applyFont="1" applyBorder="1" applyAlignment="1" applyProtection="1">
      <alignment horizontal="center" vertical="center" wrapText="1" shrinkToFit="1"/>
      <protection locked="0"/>
    </xf>
    <xf numFmtId="0" fontId="14" fillId="0" borderId="9" xfId="0" applyFont="1" applyBorder="1" applyAlignment="1" applyProtection="1">
      <alignment horizontal="center" vertical="center" shrinkToFit="1"/>
      <protection locked="0"/>
    </xf>
    <xf numFmtId="0" fontId="22" fillId="0" borderId="0" xfId="0" applyFont="1">
      <alignment vertical="center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41" fontId="21" fillId="0" borderId="0" xfId="1" applyFont="1" applyFill="1" applyBorder="1" applyAlignment="1" applyProtection="1">
      <alignment horizontal="center" vertical="center"/>
    </xf>
    <xf numFmtId="0" fontId="20" fillId="4" borderId="8" xfId="0" applyFont="1" applyFill="1" applyBorder="1" applyAlignment="1">
      <alignment horizontal="left" vertical="center"/>
    </xf>
    <xf numFmtId="0" fontId="20" fillId="4" borderId="12" xfId="0" applyFont="1" applyFill="1" applyBorder="1" applyAlignment="1">
      <alignment horizontal="left" vertical="center"/>
    </xf>
    <xf numFmtId="0" fontId="20" fillId="4" borderId="9" xfId="0" applyFont="1" applyFill="1" applyBorder="1" applyAlignment="1">
      <alignment horizontal="left" vertical="center"/>
    </xf>
    <xf numFmtId="0" fontId="7" fillId="0" borderId="8" xfId="0" applyFont="1" applyBorder="1" applyAlignment="1" applyProtection="1">
      <alignment horizontal="left" vertical="center" indent="1"/>
      <protection locked="0"/>
    </xf>
    <xf numFmtId="0" fontId="7" fillId="0" borderId="12" xfId="0" applyFont="1" applyBorder="1" applyAlignment="1" applyProtection="1">
      <alignment horizontal="left" vertical="center" indent="1"/>
      <protection locked="0"/>
    </xf>
    <xf numFmtId="0" fontId="7" fillId="0" borderId="9" xfId="0" applyFont="1" applyBorder="1" applyAlignment="1" applyProtection="1">
      <alignment horizontal="left" vertical="center" indent="1"/>
      <protection locked="0"/>
    </xf>
    <xf numFmtId="0" fontId="20" fillId="0" borderId="8" xfId="0" applyFont="1" applyBorder="1" applyProtection="1">
      <alignment vertical="center"/>
      <protection locked="0"/>
    </xf>
    <xf numFmtId="0" fontId="20" fillId="0" borderId="12" xfId="0" applyFont="1" applyBorder="1" applyProtection="1">
      <alignment vertical="center"/>
      <protection locked="0"/>
    </xf>
    <xf numFmtId="0" fontId="20" fillId="0" borderId="9" xfId="0" applyFont="1" applyBorder="1" applyProtection="1">
      <alignment vertical="center"/>
      <protection locked="0"/>
    </xf>
    <xf numFmtId="0" fontId="20" fillId="4" borderId="8" xfId="0" applyFont="1" applyFill="1" applyBorder="1">
      <alignment vertical="center"/>
    </xf>
    <xf numFmtId="0" fontId="20" fillId="4" borderId="12" xfId="0" applyFont="1" applyFill="1" applyBorder="1">
      <alignment vertical="center"/>
    </xf>
    <xf numFmtId="0" fontId="20" fillId="4" borderId="9" xfId="0" applyFont="1" applyFill="1" applyBorder="1">
      <alignment vertical="center"/>
    </xf>
    <xf numFmtId="0" fontId="20" fillId="4" borderId="15" xfId="0" applyFont="1" applyFill="1" applyBorder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left" vertical="center" shrinkToFit="1"/>
    </xf>
    <xf numFmtId="0" fontId="20" fillId="4" borderId="9" xfId="0" applyFont="1" applyFill="1" applyBorder="1" applyAlignment="1">
      <alignment horizontal="left" vertical="center" shrinkToFit="1"/>
    </xf>
    <xf numFmtId="0" fontId="20" fillId="0" borderId="8" xfId="0" applyFont="1" applyBorder="1" applyAlignment="1" applyProtection="1">
      <alignment horizontal="left" vertical="center" indent="1"/>
      <protection locked="0"/>
    </xf>
    <xf numFmtId="0" fontId="20" fillId="0" borderId="12" xfId="0" applyFont="1" applyBorder="1" applyAlignment="1" applyProtection="1">
      <alignment horizontal="left" vertical="center" indent="1"/>
      <protection locked="0"/>
    </xf>
    <xf numFmtId="0" fontId="20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2" fillId="0" borderId="0" xfId="0" applyFont="1" applyAlignment="1">
      <alignment horizontal="left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horizontal="left" vertical="center" wrapText="1" indent="1"/>
      <protection locked="0"/>
    </xf>
    <xf numFmtId="0" fontId="7" fillId="0" borderId="12" xfId="0" applyFont="1" applyBorder="1" applyAlignment="1" applyProtection="1">
      <alignment horizontal="left" vertical="center" wrapText="1" indent="1"/>
      <protection locked="0"/>
    </xf>
    <xf numFmtId="0" fontId="7" fillId="0" borderId="9" xfId="0" applyFont="1" applyBorder="1" applyAlignment="1" applyProtection="1">
      <alignment horizontal="left" vertical="center" wrapText="1" indent="1"/>
      <protection locked="0"/>
    </xf>
    <xf numFmtId="41" fontId="21" fillId="0" borderId="8" xfId="1" applyFont="1" applyFill="1" applyBorder="1" applyAlignment="1" applyProtection="1">
      <alignment horizontal="center" vertical="center"/>
      <protection locked="0"/>
    </xf>
    <xf numFmtId="41" fontId="21" fillId="0" borderId="9" xfId="1" applyFont="1" applyFill="1" applyBorder="1" applyAlignment="1" applyProtection="1">
      <alignment horizontal="center" vertical="center"/>
      <protection locked="0"/>
    </xf>
    <xf numFmtId="41" fontId="21" fillId="0" borderId="8" xfId="1" applyFont="1" applyFill="1" applyBorder="1" applyAlignment="1" applyProtection="1">
      <alignment horizontal="center" vertical="center"/>
    </xf>
    <xf numFmtId="41" fontId="21" fillId="0" borderId="9" xfId="1" applyFont="1" applyFill="1" applyBorder="1" applyAlignment="1" applyProtection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20" fillId="0" borderId="8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2" fillId="0" borderId="19" xfId="0" applyFont="1" applyBorder="1" applyAlignment="1" applyProtection="1">
      <alignment vertical="center" wrapText="1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22" fillId="0" borderId="14" xfId="0" applyFont="1" applyBorder="1" applyAlignment="1" applyProtection="1">
      <alignment vertical="center" wrapText="1"/>
      <protection locked="0"/>
    </xf>
    <xf numFmtId="0" fontId="22" fillId="0" borderId="11" xfId="0" applyFont="1" applyBorder="1" applyAlignment="1" applyProtection="1">
      <alignment vertical="center" wrapText="1"/>
      <protection locked="0"/>
    </xf>
    <xf numFmtId="0" fontId="22" fillId="0" borderId="1" xfId="0" applyFont="1" applyBorder="1" applyAlignment="1" applyProtection="1">
      <alignment vertical="center" wrapText="1"/>
      <protection locked="0"/>
    </xf>
    <xf numFmtId="0" fontId="22" fillId="0" borderId="7" xfId="0" applyFont="1" applyBorder="1" applyAlignment="1" applyProtection="1">
      <alignment vertical="center" wrapText="1"/>
      <protection locked="0"/>
    </xf>
    <xf numFmtId="41" fontId="20" fillId="0" borderId="8" xfId="1" applyFont="1" applyFill="1" applyBorder="1" applyAlignment="1" applyProtection="1">
      <alignment horizontal="right" vertical="center"/>
    </xf>
    <xf numFmtId="41" fontId="20" fillId="0" borderId="9" xfId="1" applyFont="1" applyFill="1" applyBorder="1" applyAlignment="1" applyProtection="1">
      <alignment horizontal="right" vertical="center"/>
    </xf>
    <xf numFmtId="9" fontId="7" fillId="0" borderId="10" xfId="2" applyFont="1" applyFill="1" applyBorder="1" applyAlignment="1" applyProtection="1">
      <alignment horizontal="left" vertical="center" wrapText="1" indent="1"/>
      <protection locked="0"/>
    </xf>
    <xf numFmtId="41" fontId="21" fillId="0" borderId="10" xfId="1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left" vertical="center" wrapText="1" indent="1"/>
      <protection locked="0"/>
    </xf>
    <xf numFmtId="0" fontId="7" fillId="0" borderId="11" xfId="0" applyFont="1" applyBorder="1" applyAlignment="1" applyProtection="1">
      <alignment horizontal="left" vertical="center" wrapText="1" indent="1"/>
      <protection locked="0"/>
    </xf>
    <xf numFmtId="0" fontId="7" fillId="0" borderId="1" xfId="0" applyFont="1" applyBorder="1" applyAlignment="1" applyProtection="1">
      <alignment horizontal="left" vertical="center" wrapText="1" indent="1"/>
      <protection locked="0"/>
    </xf>
    <xf numFmtId="0" fontId="7" fillId="0" borderId="7" xfId="0" applyFont="1" applyBorder="1" applyAlignment="1" applyProtection="1">
      <alignment horizontal="left" vertical="center" wrapText="1" indent="1"/>
      <protection locked="0"/>
    </xf>
    <xf numFmtId="41" fontId="21" fillId="0" borderId="11" xfId="1" applyFont="1" applyFill="1" applyBorder="1" applyAlignment="1" applyProtection="1">
      <alignment horizontal="center" vertical="center"/>
      <protection locked="0"/>
    </xf>
    <xf numFmtId="41" fontId="21" fillId="0" borderId="7" xfId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distributed" vertical="center"/>
    </xf>
    <xf numFmtId="176" fontId="18" fillId="0" borderId="0" xfId="1" applyNumberFormat="1" applyFont="1" applyFill="1" applyBorder="1" applyAlignment="1" applyProtection="1">
      <alignment horizontal="center" vertical="center"/>
    </xf>
    <xf numFmtId="0" fontId="17" fillId="0" borderId="0" xfId="0" applyFont="1" applyAlignment="1">
      <alignment horizontal="left" vertical="center" shrinkToFit="1"/>
    </xf>
    <xf numFmtId="0" fontId="17" fillId="0" borderId="1" xfId="0" applyFont="1" applyBorder="1" applyAlignment="1" applyProtection="1">
      <alignment horizontal="right" vertical="top" shrinkToFit="1"/>
      <protection locked="0"/>
    </xf>
    <xf numFmtId="41" fontId="18" fillId="0" borderId="1" xfId="0" applyNumberFormat="1" applyFont="1" applyBorder="1" applyAlignment="1" applyProtection="1">
      <alignment vertical="top" shrinkToFit="1"/>
      <protection locked="0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4" fillId="0" borderId="20" xfId="0" applyFont="1" applyBorder="1" applyAlignment="1" applyProtection="1">
      <alignment horizontal="center" vertical="center" shrinkToFit="1"/>
      <protection locked="0"/>
    </xf>
    <xf numFmtId="0" fontId="14" fillId="0" borderId="21" xfId="0" applyFont="1" applyBorder="1" applyAlignment="1" applyProtection="1">
      <alignment horizontal="center" vertical="center" shrinkToFit="1"/>
      <protection locked="0"/>
    </xf>
    <xf numFmtId="0" fontId="4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distributed"/>
    </xf>
    <xf numFmtId="14" fontId="8" fillId="0" borderId="2" xfId="0" applyNumberFormat="1" applyFont="1" applyBorder="1" applyAlignment="1" applyProtection="1">
      <alignment horizontal="center"/>
      <protection locked="0"/>
    </xf>
    <xf numFmtId="0" fontId="9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0" fillId="0" borderId="8" xfId="0" applyFont="1" applyBorder="1" applyAlignment="1">
      <alignment horizontal="left" vertical="center" indent="1"/>
    </xf>
    <xf numFmtId="0" fontId="10" fillId="0" borderId="9" xfId="0" applyFont="1" applyBorder="1" applyAlignment="1">
      <alignment horizontal="left" vertical="center" indent="1"/>
    </xf>
    <xf numFmtId="0" fontId="14" fillId="0" borderId="0" xfId="0" applyFont="1" applyAlignment="1">
      <alignment horizontal="distributed"/>
    </xf>
    <xf numFmtId="0" fontId="15" fillId="0" borderId="0" xfId="0" applyFont="1" applyAlignment="1" applyProtection="1">
      <alignment horizontal="left" indent="2"/>
      <protection locked="0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6" fillId="0" borderId="0" xfId="3" applyAlignment="1" applyProtection="1">
      <alignment horizontal="left" indent="2"/>
      <protection locked="0"/>
    </xf>
    <xf numFmtId="0" fontId="10" fillId="0" borderId="12" xfId="0" applyFont="1" applyBorder="1" applyAlignment="1">
      <alignment horizontal="left" vertical="center" indent="1"/>
    </xf>
    <xf numFmtId="0" fontId="0" fillId="0" borderId="10" xfId="0" applyBorder="1">
      <alignment vertical="center"/>
    </xf>
    <xf numFmtId="0" fontId="27" fillId="0" borderId="10" xfId="0" applyFont="1" applyBorder="1" applyAlignment="1">
      <alignment horizontal="center" vertical="center"/>
    </xf>
  </cellXfs>
  <cellStyles count="7">
    <cellStyle name="백분율" xfId="2" builtinId="5"/>
    <cellStyle name="쉼표 [0]" xfId="1" builtinId="6"/>
    <cellStyle name="쉼표 [0] 2" xfId="5" xr:uid="{5F4FD06E-E33A-49DE-916F-D8AC6CE42567}"/>
    <cellStyle name="표준" xfId="0" builtinId="0"/>
    <cellStyle name="표준 2" xfId="4" xr:uid="{31D6EE3F-AB22-4571-8209-BFB92DE694FB}"/>
    <cellStyle name="표준 2 2" xfId="6" xr:uid="{A282A8F2-38A5-435F-A372-D8B4FBDB831E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D47"/>
  <sheetViews>
    <sheetView showGridLines="0" tabSelected="1" view="pageBreakPreview" zoomScaleNormal="100" zoomScaleSheetLayoutView="100" workbookViewId="0">
      <selection activeCell="M18" sqref="M18:N18"/>
    </sheetView>
  </sheetViews>
  <sheetFormatPr defaultColWidth="18.15234375" defaultRowHeight="22.5" customHeight="1" x14ac:dyDescent="0.45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0" width="14.3046875" customWidth="1" collapsed="1"/>
    <col min="21" max="22" width="13.69140625" customWidth="1" collapsed="1"/>
    <col min="23" max="23" width="13.53515625" customWidth="1" collapsed="1"/>
    <col min="24" max="24" width="17" customWidth="1" collapsed="1"/>
    <col min="25" max="25" width="11" customWidth="1" collapsed="1"/>
    <col min="26" max="26" width="12.69140625" customWidth="1" collapsed="1"/>
    <col min="31" max="16384" width="18.15234375" collapsed="1"/>
  </cols>
  <sheetData>
    <row r="1" spans="2:27" ht="49.5" customHeight="1" x14ac:dyDescent="0.45">
      <c r="B1" s="154" t="s">
        <v>57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  <c r="T2" s="176" t="s">
        <v>69</v>
      </c>
      <c r="U2" s="176" t="s">
        <v>70</v>
      </c>
      <c r="V2" s="176" t="s">
        <v>72</v>
      </c>
      <c r="W2" s="176" t="s">
        <v>71</v>
      </c>
      <c r="X2" s="176" t="s">
        <v>73</v>
      </c>
    </row>
    <row r="3" spans="2:27" ht="15" customHeight="1" x14ac:dyDescent="0.6">
      <c r="B3" s="4"/>
      <c r="C3" s="155" t="s">
        <v>0</v>
      </c>
      <c r="D3" s="155"/>
      <c r="E3" s="156"/>
      <c r="F3" s="156"/>
      <c r="G3" s="5"/>
      <c r="I3" s="6"/>
      <c r="J3" s="7"/>
      <c r="L3" s="157" t="s">
        <v>1</v>
      </c>
      <c r="M3" s="160" t="s">
        <v>2</v>
      </c>
      <c r="N3" s="70"/>
      <c r="O3" s="70"/>
      <c r="P3" s="70"/>
      <c r="Q3" s="162" t="s">
        <v>64</v>
      </c>
      <c r="T3" s="175"/>
      <c r="U3" s="175"/>
      <c r="V3" s="175"/>
      <c r="W3" s="175"/>
      <c r="X3" s="175"/>
    </row>
    <row r="4" spans="2:27" ht="13.5" customHeight="1" x14ac:dyDescent="0.45">
      <c r="C4" s="164"/>
      <c r="D4" s="164"/>
      <c r="E4" s="164"/>
      <c r="F4" s="164"/>
      <c r="L4" s="158"/>
      <c r="M4" s="161"/>
      <c r="N4" s="69"/>
      <c r="O4" s="69"/>
      <c r="P4" s="69"/>
      <c r="Q4" s="163"/>
    </row>
    <row r="5" spans="2:27" ht="18" customHeight="1" x14ac:dyDescent="0.85">
      <c r="B5" s="8"/>
      <c r="C5" s="165"/>
      <c r="D5" s="165"/>
      <c r="E5" s="165"/>
      <c r="F5" s="165"/>
      <c r="G5" s="9" t="s">
        <v>3</v>
      </c>
      <c r="H5" s="10"/>
      <c r="I5" s="10"/>
      <c r="J5" s="10"/>
      <c r="L5" s="158"/>
      <c r="M5" s="59" t="s">
        <v>4</v>
      </c>
      <c r="N5" s="166" t="s">
        <v>5</v>
      </c>
      <c r="O5" s="167"/>
      <c r="P5" s="11" t="s">
        <v>6</v>
      </c>
      <c r="Q5" s="12" t="s">
        <v>7</v>
      </c>
      <c r="T5" s="16"/>
      <c r="U5" s="16"/>
      <c r="V5" s="16"/>
      <c r="W5" s="16"/>
    </row>
    <row r="6" spans="2:27" ht="31.5" customHeight="1" x14ac:dyDescent="0.6">
      <c r="B6" s="13"/>
      <c r="C6" s="168" t="s">
        <v>61</v>
      </c>
      <c r="D6" s="168"/>
      <c r="E6" s="169"/>
      <c r="F6" s="169"/>
      <c r="G6" s="169"/>
      <c r="H6" s="14"/>
      <c r="I6" s="9"/>
      <c r="J6" s="15"/>
      <c r="L6" s="158"/>
      <c r="M6" s="59" t="s">
        <v>8</v>
      </c>
      <c r="N6" s="170" t="s">
        <v>63</v>
      </c>
      <c r="O6" s="171"/>
      <c r="P6" s="171"/>
      <c r="Q6" s="172"/>
      <c r="R6" s="16"/>
      <c r="S6" s="16"/>
      <c r="T6" s="16"/>
      <c r="U6" s="16"/>
      <c r="V6" s="16"/>
      <c r="W6" s="16"/>
    </row>
    <row r="7" spans="2:27" ht="21.75" customHeight="1" x14ac:dyDescent="0.6">
      <c r="B7" s="13"/>
      <c r="C7" s="168" t="s">
        <v>60</v>
      </c>
      <c r="D7" s="168"/>
      <c r="E7" s="169"/>
      <c r="F7" s="169"/>
      <c r="G7" s="169"/>
      <c r="H7" s="17"/>
      <c r="I7" s="18"/>
      <c r="J7" s="19"/>
      <c r="K7" s="19"/>
      <c r="L7" s="158"/>
      <c r="M7" s="59" t="s">
        <v>9</v>
      </c>
      <c r="N7" s="166" t="s">
        <v>10</v>
      </c>
      <c r="O7" s="167"/>
      <c r="P7" s="20" t="s">
        <v>11</v>
      </c>
      <c r="Q7" s="21" t="s">
        <v>12</v>
      </c>
      <c r="R7" s="16"/>
      <c r="S7" s="16"/>
      <c r="T7" s="16"/>
      <c r="U7" s="16"/>
      <c r="V7" s="16"/>
      <c r="W7" s="16"/>
    </row>
    <row r="8" spans="2:27" ht="21.75" customHeight="1" x14ac:dyDescent="0.6">
      <c r="B8" s="13"/>
      <c r="C8" s="168" t="s">
        <v>58</v>
      </c>
      <c r="D8" s="168"/>
      <c r="E8" s="173"/>
      <c r="F8" s="169"/>
      <c r="G8" s="169"/>
      <c r="H8" s="22"/>
      <c r="I8" s="18"/>
      <c r="J8" s="19"/>
      <c r="K8" s="19"/>
      <c r="L8" s="159"/>
      <c r="M8" s="59" t="s">
        <v>13</v>
      </c>
      <c r="N8" s="166" t="s">
        <v>14</v>
      </c>
      <c r="O8" s="174"/>
      <c r="P8" s="23" t="s">
        <v>15</v>
      </c>
      <c r="Q8" s="24" t="s">
        <v>16</v>
      </c>
      <c r="R8" s="16"/>
      <c r="S8" s="16"/>
      <c r="T8" s="16"/>
      <c r="U8" s="16"/>
      <c r="V8" s="16"/>
      <c r="W8" s="16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4" t="s">
        <v>17</v>
      </c>
      <c r="D10" s="144"/>
      <c r="E10" s="145">
        <f>O26</f>
        <v>0</v>
      </c>
      <c r="F10" s="145"/>
      <c r="G10" s="145"/>
      <c r="H10" s="145"/>
      <c r="I10" s="146" t="s">
        <v>18</v>
      </c>
      <c r="J10" s="146"/>
      <c r="K10" s="146"/>
      <c r="L10" s="71" t="s">
        <v>65</v>
      </c>
      <c r="M10" s="152" t="s">
        <v>66</v>
      </c>
      <c r="N10" s="153"/>
      <c r="O10" s="153" t="s">
        <v>67</v>
      </c>
      <c r="P10" s="153"/>
      <c r="Q10" s="72" t="s">
        <v>68</v>
      </c>
      <c r="R10" s="19"/>
      <c r="S10" s="16"/>
      <c r="U10" s="66"/>
    </row>
    <row r="11" spans="2:27" ht="20.25" customHeight="1" x14ac:dyDescent="0.45">
      <c r="C11" s="32" t="s">
        <v>19</v>
      </c>
      <c r="E11" s="32"/>
      <c r="F11" s="22"/>
      <c r="G11" s="22"/>
      <c r="H11" s="22"/>
      <c r="I11" s="33"/>
      <c r="J11" s="33"/>
      <c r="K11" s="33"/>
      <c r="M11" s="147"/>
      <c r="N11" s="147"/>
      <c r="O11" s="148"/>
      <c r="P11" s="148"/>
      <c r="Q11" s="34"/>
      <c r="R11" s="16"/>
      <c r="S11" s="16"/>
      <c r="T11" s="35" t="s">
        <v>20</v>
      </c>
    </row>
    <row r="12" spans="2:27" ht="22.5" customHeight="1" x14ac:dyDescent="0.45">
      <c r="B12" s="104" t="s">
        <v>21</v>
      </c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6"/>
      <c r="T12" s="35" t="s">
        <v>22</v>
      </c>
    </row>
    <row r="13" spans="2:27" ht="22.5" customHeight="1" x14ac:dyDescent="0.45">
      <c r="B13" s="149" t="s">
        <v>23</v>
      </c>
      <c r="C13" s="150"/>
      <c r="D13" s="149" t="s">
        <v>24</v>
      </c>
      <c r="E13" s="151"/>
      <c r="F13" s="151"/>
      <c r="G13" s="151"/>
      <c r="H13" s="151"/>
      <c r="I13" s="151"/>
      <c r="J13" s="151"/>
      <c r="K13" s="150"/>
      <c r="L13" s="36" t="s">
        <v>25</v>
      </c>
      <c r="M13" s="149" t="s">
        <v>26</v>
      </c>
      <c r="N13" s="150"/>
      <c r="O13" s="149" t="s">
        <v>27</v>
      </c>
      <c r="P13" s="150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 x14ac:dyDescent="0.45">
      <c r="B14" s="107">
        <v>1</v>
      </c>
      <c r="C14" s="107"/>
      <c r="D14" s="138"/>
      <c r="E14" s="138"/>
      <c r="F14" s="138"/>
      <c r="G14" s="138"/>
      <c r="H14" s="138"/>
      <c r="I14" s="138"/>
      <c r="J14" s="138"/>
      <c r="K14" s="138"/>
      <c r="L14" s="38"/>
      <c r="M14" s="137"/>
      <c r="N14" s="137"/>
      <c r="O14" s="113">
        <f t="shared" ref="O14:O22" si="0">M14*L14</f>
        <v>0</v>
      </c>
      <c r="P14" s="114"/>
      <c r="Q14" s="64"/>
      <c r="T14" s="39"/>
      <c r="U14" s="39">
        <f>T14*L14</f>
        <v>0</v>
      </c>
      <c r="V14" s="41">
        <f>O14-U14</f>
        <v>0</v>
      </c>
      <c r="W14" s="42" t="e">
        <f>V14/O14</f>
        <v>#DIV/0!</v>
      </c>
      <c r="X14" s="65"/>
      <c r="Y14" s="44"/>
      <c r="AA14" s="45"/>
    </row>
    <row r="15" spans="2:27" ht="33" customHeight="1" x14ac:dyDescent="0.45">
      <c r="B15" s="107">
        <v>2</v>
      </c>
      <c r="C15" s="107"/>
      <c r="D15" s="108"/>
      <c r="E15" s="109"/>
      <c r="F15" s="109"/>
      <c r="G15" s="109"/>
      <c r="H15" s="109"/>
      <c r="I15" s="109"/>
      <c r="J15" s="109"/>
      <c r="K15" s="110"/>
      <c r="L15" s="38"/>
      <c r="M15" s="137"/>
      <c r="N15" s="137"/>
      <c r="O15" s="113">
        <f t="shared" si="0"/>
        <v>0</v>
      </c>
      <c r="P15" s="114"/>
      <c r="Q15" s="64"/>
      <c r="T15" s="39"/>
      <c r="U15" s="40">
        <f>L15*T15</f>
        <v>0</v>
      </c>
      <c r="V15" s="41">
        <f>O15-U15</f>
        <v>0</v>
      </c>
      <c r="W15" s="42" t="e">
        <f>V15/O15</f>
        <v>#DIV/0!</v>
      </c>
      <c r="X15" s="65"/>
      <c r="Y15" s="44"/>
      <c r="AA15" s="45"/>
    </row>
    <row r="16" spans="2:27" ht="33" customHeight="1" x14ac:dyDescent="0.45">
      <c r="B16" s="107">
        <v>3</v>
      </c>
      <c r="C16" s="107"/>
      <c r="D16" s="108"/>
      <c r="E16" s="109"/>
      <c r="F16" s="109"/>
      <c r="G16" s="109"/>
      <c r="H16" s="109"/>
      <c r="I16" s="109"/>
      <c r="J16" s="109"/>
      <c r="K16" s="110"/>
      <c r="L16" s="38"/>
      <c r="M16" s="137"/>
      <c r="N16" s="137"/>
      <c r="O16" s="113">
        <f t="shared" si="0"/>
        <v>0</v>
      </c>
      <c r="P16" s="114"/>
      <c r="Q16" s="64"/>
      <c r="T16" s="39"/>
      <c r="U16" s="40">
        <f>L16*T16</f>
        <v>0</v>
      </c>
      <c r="V16" s="41">
        <f>O16-U16</f>
        <v>0</v>
      </c>
      <c r="W16" s="42" t="e">
        <f>V16/O16</f>
        <v>#DIV/0!</v>
      </c>
      <c r="X16" s="43"/>
      <c r="Y16" s="44"/>
      <c r="AA16" s="45"/>
    </row>
    <row r="17" spans="2:25" ht="33" customHeight="1" x14ac:dyDescent="0.45">
      <c r="B17" s="107">
        <v>4</v>
      </c>
      <c r="C17" s="107"/>
      <c r="D17" s="136"/>
      <c r="E17" s="136"/>
      <c r="F17" s="136"/>
      <c r="G17" s="136"/>
      <c r="H17" s="136"/>
      <c r="I17" s="136"/>
      <c r="J17" s="136"/>
      <c r="K17" s="136"/>
      <c r="L17" s="38"/>
      <c r="M17" s="137"/>
      <c r="N17" s="137"/>
      <c r="O17" s="113">
        <f t="shared" si="0"/>
        <v>0</v>
      </c>
      <c r="P17" s="114"/>
      <c r="Q17" s="64"/>
      <c r="T17" s="39"/>
      <c r="U17" s="40">
        <f>L17*T17</f>
        <v>0</v>
      </c>
      <c r="V17" s="41">
        <f>O17-U17</f>
        <v>0</v>
      </c>
      <c r="W17" s="42" t="e">
        <f>V17/O17</f>
        <v>#DIV/0!</v>
      </c>
      <c r="X17" s="43"/>
      <c r="Y17" s="44"/>
    </row>
    <row r="18" spans="2:25" ht="33" customHeight="1" x14ac:dyDescent="0.45">
      <c r="B18" s="107">
        <v>5</v>
      </c>
      <c r="C18" s="107"/>
      <c r="D18" s="138"/>
      <c r="E18" s="138"/>
      <c r="F18" s="138"/>
      <c r="G18" s="138"/>
      <c r="H18" s="138"/>
      <c r="I18" s="138"/>
      <c r="J18" s="138"/>
      <c r="K18" s="138"/>
      <c r="L18" s="38"/>
      <c r="M18" s="137"/>
      <c r="N18" s="137"/>
      <c r="O18" s="113">
        <f t="shared" si="0"/>
        <v>0</v>
      </c>
      <c r="P18" s="114"/>
      <c r="Q18" s="68"/>
      <c r="T18" s="39"/>
      <c r="U18" s="40">
        <f>L18*T18</f>
        <v>0</v>
      </c>
      <c r="V18" s="41">
        <f>O18-U18</f>
        <v>0</v>
      </c>
      <c r="W18" s="42" t="e">
        <f>V18/O18</f>
        <v>#DIV/0!</v>
      </c>
      <c r="X18" s="43"/>
      <c r="Y18" s="44"/>
    </row>
    <row r="19" spans="2:25" ht="33" customHeight="1" x14ac:dyDescent="0.45">
      <c r="B19" s="107">
        <v>6</v>
      </c>
      <c r="C19" s="107"/>
      <c r="D19" s="139"/>
      <c r="E19" s="140"/>
      <c r="F19" s="140"/>
      <c r="G19" s="140"/>
      <c r="H19" s="140"/>
      <c r="I19" s="140"/>
      <c r="J19" s="140"/>
      <c r="K19" s="141"/>
      <c r="L19" s="67"/>
      <c r="M19" s="142"/>
      <c r="N19" s="143"/>
      <c r="O19" s="113">
        <f t="shared" si="0"/>
        <v>0</v>
      </c>
      <c r="P19" s="114"/>
      <c r="Q19" s="64"/>
      <c r="T19" s="39"/>
      <c r="U19" s="40">
        <f>L19*T19</f>
        <v>0</v>
      </c>
      <c r="V19" s="41">
        <f>O19-U19</f>
        <v>0</v>
      </c>
      <c r="W19" s="42" t="e">
        <f>V19/O19</f>
        <v>#DIV/0!</v>
      </c>
      <c r="X19" s="43"/>
      <c r="Y19" s="44"/>
    </row>
    <row r="20" spans="2:25" ht="33" customHeight="1" x14ac:dyDescent="0.45">
      <c r="B20" s="107">
        <v>7</v>
      </c>
      <c r="C20" s="107"/>
      <c r="D20" s="108"/>
      <c r="E20" s="109"/>
      <c r="F20" s="109"/>
      <c r="G20" s="109"/>
      <c r="H20" s="109"/>
      <c r="I20" s="109"/>
      <c r="J20" s="109"/>
      <c r="K20" s="110"/>
      <c r="L20" s="38"/>
      <c r="M20" s="111"/>
      <c r="N20" s="112"/>
      <c r="O20" s="113">
        <f t="shared" si="0"/>
        <v>0</v>
      </c>
      <c r="P20" s="114"/>
      <c r="Q20" s="64"/>
      <c r="T20" s="39"/>
      <c r="U20" s="40">
        <f>L20*T20</f>
        <v>0</v>
      </c>
      <c r="V20" s="41">
        <f>O20-U20</f>
        <v>0</v>
      </c>
      <c r="W20" s="42" t="e">
        <f>V20/O20</f>
        <v>#DIV/0!</v>
      </c>
      <c r="X20" s="43"/>
      <c r="Y20" s="44"/>
    </row>
    <row r="21" spans="2:25" ht="33" customHeight="1" x14ac:dyDescent="0.45">
      <c r="B21" s="107">
        <v>8</v>
      </c>
      <c r="C21" s="107"/>
      <c r="D21" s="108"/>
      <c r="E21" s="109"/>
      <c r="F21" s="109"/>
      <c r="G21" s="109"/>
      <c r="H21" s="109"/>
      <c r="I21" s="109"/>
      <c r="J21" s="109"/>
      <c r="K21" s="110"/>
      <c r="L21" s="38"/>
      <c r="M21" s="111"/>
      <c r="N21" s="112"/>
      <c r="O21" s="113">
        <f t="shared" si="0"/>
        <v>0</v>
      </c>
      <c r="P21" s="114"/>
      <c r="Q21" s="46"/>
      <c r="T21" s="39"/>
      <c r="U21" s="40">
        <f>L21*T21</f>
        <v>0</v>
      </c>
      <c r="V21" s="41">
        <f>O21-U21</f>
        <v>0</v>
      </c>
      <c r="W21" s="42" t="e">
        <f>V21/O21</f>
        <v>#DIV/0!</v>
      </c>
      <c r="X21" s="43"/>
      <c r="Y21" s="44"/>
    </row>
    <row r="22" spans="2:25" ht="33" customHeight="1" x14ac:dyDescent="0.45">
      <c r="B22" s="107">
        <v>9</v>
      </c>
      <c r="C22" s="107"/>
      <c r="D22" s="108"/>
      <c r="E22" s="109"/>
      <c r="F22" s="109"/>
      <c r="G22" s="109"/>
      <c r="H22" s="109"/>
      <c r="I22" s="109"/>
      <c r="J22" s="109"/>
      <c r="K22" s="110"/>
      <c r="L22" s="38"/>
      <c r="M22" s="111"/>
      <c r="N22" s="112"/>
      <c r="O22" s="113">
        <f t="shared" si="0"/>
        <v>0</v>
      </c>
      <c r="P22" s="114"/>
      <c r="Q22" s="46"/>
      <c r="T22" s="39"/>
      <c r="U22" s="40">
        <f>L22*T22</f>
        <v>0</v>
      </c>
      <c r="V22" s="41">
        <f>O22-U22</f>
        <v>0</v>
      </c>
      <c r="W22" s="42" t="e">
        <f>V22/O22</f>
        <v>#DIV/0!</v>
      </c>
      <c r="X22" s="47"/>
      <c r="Y22" s="44"/>
    </row>
    <row r="23" spans="2:25" ht="33" customHeight="1" x14ac:dyDescent="0.45">
      <c r="B23" s="107">
        <v>10</v>
      </c>
      <c r="C23" s="107"/>
      <c r="D23" s="108"/>
      <c r="E23" s="109"/>
      <c r="F23" s="109"/>
      <c r="G23" s="109"/>
      <c r="H23" s="109"/>
      <c r="I23" s="109"/>
      <c r="J23" s="109"/>
      <c r="K23" s="110"/>
      <c r="L23" s="38"/>
      <c r="M23" s="111"/>
      <c r="N23" s="112"/>
      <c r="O23" s="113">
        <f>M23*L23</f>
        <v>0</v>
      </c>
      <c r="P23" s="114"/>
      <c r="Q23" s="46"/>
      <c r="T23" s="39"/>
      <c r="U23" s="40">
        <f>L23*T23</f>
        <v>0</v>
      </c>
      <c r="V23" s="41">
        <f>O23-U23</f>
        <v>0</v>
      </c>
      <c r="W23" s="42" t="e">
        <f>V23/O23</f>
        <v>#DIV/0!</v>
      </c>
      <c r="X23" s="47"/>
      <c r="Y23" s="44"/>
    </row>
    <row r="24" spans="2:25" ht="21" customHeight="1" x14ac:dyDescent="0.45">
      <c r="B24" s="115" t="s">
        <v>34</v>
      </c>
      <c r="C24" s="116"/>
      <c r="D24" s="121" t="s">
        <v>62</v>
      </c>
      <c r="E24" s="122"/>
      <c r="F24" s="122"/>
      <c r="G24" s="122"/>
      <c r="H24" s="122"/>
      <c r="I24" s="122" t="s">
        <v>35</v>
      </c>
      <c r="J24" s="122"/>
      <c r="K24" s="122"/>
      <c r="L24" s="123"/>
      <c r="M24" s="124" t="s">
        <v>36</v>
      </c>
      <c r="N24" s="125"/>
      <c r="O24" s="126">
        <f>SUM(O14:P23)</f>
        <v>0</v>
      </c>
      <c r="P24" s="127"/>
      <c r="Q24" s="48"/>
      <c r="T24" s="39">
        <f>SUM(T14:T23)</f>
        <v>0</v>
      </c>
      <c r="U24" s="39">
        <f>SUM(U14:U23)</f>
        <v>0</v>
      </c>
      <c r="V24" s="39">
        <f>SUM(V14:V23)</f>
        <v>0</v>
      </c>
      <c r="W24" s="42" t="e">
        <f>V24/O24</f>
        <v>#DIV/0!</v>
      </c>
      <c r="X24" s="43"/>
      <c r="Y24" s="44"/>
    </row>
    <row r="25" spans="2:25" ht="21" customHeight="1" x14ac:dyDescent="0.45">
      <c r="B25" s="117"/>
      <c r="C25" s="118"/>
      <c r="D25" s="128" t="s">
        <v>59</v>
      </c>
      <c r="E25" s="129"/>
      <c r="F25" s="129"/>
      <c r="G25" s="129"/>
      <c r="H25" s="129"/>
      <c r="I25" s="129"/>
      <c r="J25" s="129"/>
      <c r="K25" s="129"/>
      <c r="L25" s="130"/>
      <c r="M25" s="124" t="s">
        <v>37</v>
      </c>
      <c r="N25" s="125"/>
      <c r="O25" s="134">
        <f>O24*0.1</f>
        <v>0</v>
      </c>
      <c r="P25" s="135"/>
      <c r="Q25" s="48"/>
      <c r="Y25" s="44"/>
    </row>
    <row r="26" spans="2:25" ht="21" customHeight="1" x14ac:dyDescent="0.45">
      <c r="B26" s="119"/>
      <c r="C26" s="120"/>
      <c r="D26" s="131"/>
      <c r="E26" s="132"/>
      <c r="F26" s="132"/>
      <c r="G26" s="132"/>
      <c r="H26" s="132"/>
      <c r="I26" s="132"/>
      <c r="J26" s="132"/>
      <c r="K26" s="132"/>
      <c r="L26" s="133"/>
      <c r="M26" s="124" t="s">
        <v>38</v>
      </c>
      <c r="N26" s="125"/>
      <c r="O26" s="134">
        <f>SUM(O24:P25)</f>
        <v>0</v>
      </c>
      <c r="P26" s="135"/>
      <c r="Q26" s="48"/>
      <c r="W26" s="45"/>
      <c r="X26" s="49"/>
    </row>
    <row r="27" spans="2:25" ht="6.75" customHeight="1" x14ac:dyDescent="0.45"/>
    <row r="28" spans="2:25" ht="6.75" customHeight="1" x14ac:dyDescent="0.45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</row>
    <row r="29" spans="2:25" ht="13.5" customHeight="1" x14ac:dyDescent="0.45"/>
    <row r="30" spans="2:25" ht="12.75" customHeight="1" x14ac:dyDescent="0.45">
      <c r="B30" s="103" t="s">
        <v>39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</row>
    <row r="31" spans="2:25" ht="6.75" customHeight="1" x14ac:dyDescent="0.45"/>
    <row r="32" spans="2:25" ht="22.5" customHeight="1" x14ac:dyDescent="0.45">
      <c r="B32" s="104" t="s">
        <v>40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V32" s="50"/>
      <c r="W32" s="50"/>
    </row>
    <row r="33" spans="1:23" s="51" customFormat="1" ht="25.5" customHeight="1" x14ac:dyDescent="0.45">
      <c r="B33" s="79" t="s">
        <v>41</v>
      </c>
      <c r="C33" s="80"/>
      <c r="D33" s="80"/>
      <c r="E33" s="81"/>
      <c r="F33" s="85"/>
      <c r="G33" s="86"/>
      <c r="H33" s="87"/>
      <c r="I33" s="79" t="s">
        <v>42</v>
      </c>
      <c r="J33" s="80"/>
      <c r="K33" s="85"/>
      <c r="L33" s="86"/>
      <c r="M33" s="87"/>
      <c r="N33" s="79" t="s">
        <v>43</v>
      </c>
      <c r="O33" s="81"/>
      <c r="P33" s="82"/>
      <c r="Q33" s="84"/>
      <c r="W33" s="52"/>
    </row>
    <row r="34" spans="1:23" s="51" customFormat="1" ht="25.5" customHeight="1" x14ac:dyDescent="0.45">
      <c r="B34" s="79" t="s">
        <v>44</v>
      </c>
      <c r="C34" s="80"/>
      <c r="D34" s="80"/>
      <c r="E34" s="81"/>
      <c r="F34" s="82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4"/>
      <c r="W34" s="53"/>
    </row>
    <row r="35" spans="1:23" s="51" customFormat="1" ht="25.5" customHeight="1" x14ac:dyDescent="0.45">
      <c r="B35" s="79" t="s">
        <v>45</v>
      </c>
      <c r="C35" s="80"/>
      <c r="D35" s="80"/>
      <c r="E35" s="81"/>
      <c r="F35" s="82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4"/>
    </row>
    <row r="36" spans="1:23" ht="25.5" customHeight="1" x14ac:dyDescent="0.45">
      <c r="B36" s="79" t="s">
        <v>46</v>
      </c>
      <c r="C36" s="80"/>
      <c r="D36" s="80"/>
      <c r="E36" s="81"/>
      <c r="F36" s="85"/>
      <c r="G36" s="86"/>
      <c r="H36" s="86"/>
      <c r="I36" s="86"/>
      <c r="J36" s="87"/>
      <c r="K36" s="88" t="s">
        <v>47</v>
      </c>
      <c r="L36" s="89"/>
      <c r="M36" s="90"/>
      <c r="N36" s="86"/>
      <c r="O36" s="86"/>
      <c r="P36" s="86"/>
      <c r="Q36" s="87"/>
    </row>
    <row r="37" spans="1:23" ht="25.5" customHeight="1" x14ac:dyDescent="0.45">
      <c r="B37" s="91" t="s">
        <v>48</v>
      </c>
      <c r="C37" s="92"/>
      <c r="D37" s="93"/>
      <c r="E37" s="97" t="s">
        <v>49</v>
      </c>
      <c r="F37" s="98"/>
      <c r="G37" s="99"/>
      <c r="H37" s="100"/>
      <c r="I37" s="100"/>
      <c r="J37" s="100"/>
      <c r="K37" s="101"/>
      <c r="L37" s="79" t="s">
        <v>50</v>
      </c>
      <c r="M37" s="81"/>
      <c r="N37" s="82"/>
      <c r="O37" s="83"/>
      <c r="P37" s="83"/>
      <c r="Q37" s="84"/>
    </row>
    <row r="38" spans="1:23" ht="25.5" customHeight="1" x14ac:dyDescent="0.45">
      <c r="B38" s="94"/>
      <c r="C38" s="95"/>
      <c r="D38" s="96"/>
      <c r="E38" s="79" t="s">
        <v>51</v>
      </c>
      <c r="F38" s="81"/>
      <c r="G38" s="82"/>
      <c r="H38" s="83"/>
      <c r="I38" s="83"/>
      <c r="J38" s="83"/>
      <c r="K38" s="83"/>
      <c r="L38" s="83"/>
      <c r="M38" s="83"/>
      <c r="N38" s="83"/>
      <c r="O38" s="83"/>
      <c r="P38" s="83"/>
      <c r="Q38" s="84"/>
    </row>
    <row r="39" spans="1:23" ht="15" customHeight="1" x14ac:dyDescent="0.45"/>
    <row r="40" spans="1:23" ht="12.75" customHeight="1" x14ac:dyDescent="0.45">
      <c r="B40" s="73" t="s">
        <v>52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73"/>
      <c r="C42" s="73"/>
      <c r="D42" s="73"/>
      <c r="E42" s="73"/>
      <c r="F42" s="73"/>
      <c r="G42" s="73"/>
      <c r="H42" s="74" t="s">
        <v>53</v>
      </c>
      <c r="I42" s="74"/>
      <c r="J42" s="74"/>
      <c r="K42" s="74"/>
      <c r="L42" s="74"/>
      <c r="M42" s="74"/>
      <c r="N42" s="75" t="s">
        <v>54</v>
      </c>
      <c r="O42" s="75"/>
      <c r="P42" s="75"/>
      <c r="Q42" s="75"/>
    </row>
    <row r="43" spans="1:23" ht="30" customHeight="1" x14ac:dyDescent="0.45">
      <c r="B43" s="76"/>
      <c r="C43" s="76"/>
      <c r="D43" s="77"/>
      <c r="E43" s="77"/>
      <c r="F43" s="77"/>
      <c r="G43" s="77"/>
      <c r="H43" s="77"/>
      <c r="I43" s="77"/>
      <c r="J43" s="77"/>
      <c r="K43" s="77"/>
      <c r="L43" s="54"/>
      <c r="M43" s="78"/>
      <c r="N43" s="78"/>
      <c r="O43" s="78"/>
      <c r="P43" s="78"/>
      <c r="Q43" s="55"/>
    </row>
    <row r="46" spans="1:23" ht="13.15" x14ac:dyDescent="0.45">
      <c r="G46" s="56"/>
    </row>
    <row r="47" spans="1:23" ht="18" customHeight="1" x14ac:dyDescent="0.45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3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2025-07-18T01:05:55Z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