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69A36CD8010D21B83034B32D21" xr6:coauthVersionLast="47" xr6:coauthVersionMax="47" xr10:uidLastSave="{041419EF-9EE0-499E-AB06-72A3B5EFB1CB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W14" i="1"/>
  <c r="V14" i="1"/>
  <c r="U14" i="1"/>
  <c r="U24" i="1" s="1"/>
  <c r="O14" i="1"/>
  <c r="V24" i="1" l="1"/>
  <c r="O24" i="1"/>
  <c r="O25" i="1" l="1"/>
  <c r="O26" i="1" s="1"/>
  <c r="E10" i="1" s="1"/>
  <c r="W24" i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<sst xmlns="http://schemas.openxmlformats.org/spreadsheetml/2006/main" count="71" uniqueCount="71">
  <si>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</si>
  <si>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</si>
  <si>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</si>
  <si>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</si>
  <si>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</si>
  <si>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디오포스트 - 오르카시스템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</si>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</sst>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L17" sqref="L17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45887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726000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660000</v>
      </c>
      <c r="N14" s="80"/>
      <c r="O14" s="87">
        <f t="shared" ref="O14:O23" si="0">M14*L14</f>
        <v>660000</v>
      </c>
      <c r="P14" s="86"/>
      <c r="Q14" s="64"/>
      <c r="T14" s="39">
        <v>636342</v>
      </c>
      <c r="U14" s="39">
        <f>T14*L14</f>
        <v>636342</v>
      </c>
      <c r="V14" s="41">
        <f t="shared" ref="V14:V23" si="1">O14-U14</f>
        <v>23658</v>
      </c>
      <c r="W14" s="42">
        <f t="shared" ref="W14:W24" si="2">V14/O14</f>
        <v>3.5845454545454548E-2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660000</v>
      </c>
      <c r="P24" s="86"/>
      <c r="Q24" s="48"/>
      <c r="T24" s="39">
        <f>SUM(T14:T23)</f>
        <v>636342</v>
      </c>
      <c r="U24" s="39">
        <f>SUM(U14:U23)</f>
        <v>636342</v>
      </c>
      <c r="V24" s="39">
        <f>SUM(V14:V23)</f>
        <v>23658</v>
      </c>
      <c r="W24" s="42">
        <f t="shared" si="2"/>
        <v>3.5845454545454548E-2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66000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726000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A8D6DDD9-38F4-4E83-BA9D-13DA828168B0}"/>
</file>

<file path=customXml/itemProps2.xml><?xml version="1.0" encoding="utf-8"?>
<ds:datastoreItem xmlns:ds="http://schemas.openxmlformats.org/officeDocument/2006/customXml" ds:itemID="{A457BFB8-5C59-40A8-9DA6-8A1828D8EAF4}"/>
</file>

<file path=customXml/itemProps3.xml><?xml version="1.0" encoding="utf-8"?>
<ds:datastoreItem xmlns:ds="http://schemas.openxmlformats.org/officeDocument/2006/customXml" ds:itemID="{9A3D0B9E-4AD5-4AB8-886D-3D43BB0AA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