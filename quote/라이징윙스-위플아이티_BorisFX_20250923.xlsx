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2" documentId="8_{07AC1A93-A888-4B63-A699-8F4D06683CB9}" xr6:coauthVersionLast="47" xr6:coauthVersionMax="47" xr10:uidLastSave="{E9FA12B8-AE11-4104-85E2-B7D92FFC8322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T24" i="1"/>
  <c r="U23" i="1"/>
  <c r="O23" i="1"/>
  <c r="V23" i="1" s="1"/>
  <c r="W23" i="1" s="1"/>
  <c r="V22" i="1"/>
  <c r="W22" i="1" s="1"/>
  <c r="U22" i="1"/>
  <c r="O22" i="1"/>
  <c r="U21" i="1"/>
  <c r="O21" i="1"/>
  <c r="V21" i="1" s="1"/>
  <c r="W21" i="1" s="1"/>
  <c r="W20" i="1"/>
  <c r="V20" i="1"/>
  <c r="U20" i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V14" i="1"/>
  <c r="W14" i="1" s="1"/>
  <c r="U14" i="1"/>
  <c r="O14" i="1"/>
  <c r="O24" i="1" s="1"/>
  <c r="O25" i="1" l="1"/>
  <c r="O26" i="1" s="1"/>
  <c r="E10" i="1" s="1"/>
  <c r="V24" i="1"/>
  <c r="W24" i="1" s="1"/>
</calcChain>
</file>

<file path=xl/sharedStrings.xml><?xml version="1.0" encoding="utf-8"?>
<sst xmlns="http://schemas.openxmlformats.org/spreadsheetml/2006/main" count="72" uniqueCount="72">
  <si>
    <t xml:space="preserve"> *   견 적 서   *</t>
  </si>
  <si>
    <t>견적일자</t>
  </si>
  <si>
    <t>공
급
자</t>
  </si>
  <si>
    <t>상  호</t>
  </si>
  <si>
    <t>큐브렉스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</si>
  <si>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</si>
  <si>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</si>
  <si>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</si>
  <si>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</si>
  <si>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</si>
  <si>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</si>
  <si>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</si>
  <si>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</si>
  <si>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</si>
  <si>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</si>
  <si>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</si>
  <si>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</si>
  <si>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</si>
  <si>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</si>
  <si>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</si>
  <si>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</si>
  <si>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</si>
  <si>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</si>
  <si>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</si>
  <si>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</si>
  <si>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</si>
  <si>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</si>
  <si>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</si>
  <si>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</si>
  <si>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</si>
  <si>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</si>
  <si>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</si>
  <si>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</si>
  <si>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</si>
  <si>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</si>
  <si>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</si>
  <si>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</si>
  <si>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</si>
  <si>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</si>
  <si>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</si>
  <si>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</si>
  <si>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</si>
  <si>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</si>
  <si>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</si>
  <si>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Renewal</t>
  </si>
  <si>
    <t>2026-10-11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</si>
  <si>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</si>
  <si>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</si>
  <si>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</si>
  <si>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</si>
  <si>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</si>
  <si>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</si>
  <si>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</si>
  <si>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</si>
  <si>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</si>
  <si>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</si>
  <si>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</si>
  <si>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</si>
  <si>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</si>
  <si>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</si>
  <si>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</si>
  <si>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</si>
  <si>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</si>
  <si>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</si>
  <si>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</si>
  <si>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</si>
  <si>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</si>
  <si>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</si>
  <si>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</si>
  <si>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</si>
  <si>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</si>
  <si>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라이징윙스 - 위플아이티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</si>
</sst>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L15" activeCellId="1" sqref="Q14 L1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/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71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5</v>
      </c>
      <c r="H5" s="10"/>
      <c r="I5" s="10"/>
      <c r="J5" s="10"/>
      <c r="L5" s="95"/>
      <c r="M5" s="59" t="s">
        <v>6</v>
      </c>
      <c r="N5" s="98" t="s">
        <v>7</v>
      </c>
      <c r="O5" s="86"/>
      <c r="P5" s="11" t="s">
        <v>8</v>
      </c>
      <c r="Q5" s="12" t="s">
        <v>9</v>
      </c>
      <c r="U5" s="45"/>
    </row>
    <row r="6" spans="2:27" ht="31.5" customHeight="1" x14ac:dyDescent="0.6">
      <c r="B6" s="13"/>
      <c r="C6" s="77" t="s">
        <v>10</v>
      </c>
      <c r="D6" s="76"/>
      <c r="E6" s="99"/>
      <c r="F6" s="83"/>
      <c r="G6" s="83"/>
      <c r="H6" s="14"/>
      <c r="I6" s="9"/>
      <c r="J6" s="15"/>
      <c r="L6" s="95"/>
      <c r="M6" s="59" t="s">
        <v>11</v>
      </c>
      <c r="N6" s="134" t="s">
        <v>12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13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14</v>
      </c>
      <c r="N7" s="98" t="s">
        <v>15</v>
      </c>
      <c r="O7" s="86"/>
      <c r="P7" s="20" t="s">
        <v>16</v>
      </c>
      <c r="Q7" s="21" t="s">
        <v>17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18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19</v>
      </c>
      <c r="N8" s="139" t="s">
        <v>20</v>
      </c>
      <c r="O8" s="89"/>
      <c r="P8" s="23" t="s">
        <v>21</v>
      </c>
      <c r="Q8" s="24" t="s">
        <v>22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23</v>
      </c>
      <c r="D10" s="76"/>
      <c r="E10" s="107">
        <f>O26</f>
        <v>753500</v>
      </c>
      <c r="F10" s="76"/>
      <c r="G10" s="76"/>
      <c r="H10" s="76"/>
      <c r="I10" s="104" t="s">
        <v>24</v>
      </c>
      <c r="J10" s="76"/>
      <c r="K10" s="76"/>
      <c r="L10" s="73" t="s">
        <v>25</v>
      </c>
      <c r="M10" s="92" t="s">
        <v>26</v>
      </c>
      <c r="N10" s="93"/>
      <c r="O10" s="143" t="s">
        <v>27</v>
      </c>
      <c r="P10" s="93"/>
      <c r="Q10" s="74" t="s">
        <v>28</v>
      </c>
      <c r="R10" s="19"/>
      <c r="S10" s="16"/>
      <c r="U10" s="68"/>
    </row>
    <row r="11" spans="2:27" ht="20.25" customHeight="1" x14ac:dyDescent="0.45">
      <c r="C11" s="32" t="s">
        <v>29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30</v>
      </c>
    </row>
    <row r="12" spans="2:27" ht="22.5" customHeight="1" x14ac:dyDescent="0.45">
      <c r="B12" s="91" t="s">
        <v>31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32</v>
      </c>
    </row>
    <row r="13" spans="2:27" ht="22.5" customHeight="1" x14ac:dyDescent="0.45">
      <c r="B13" s="101" t="s">
        <v>33</v>
      </c>
      <c r="C13" s="86"/>
      <c r="D13" s="101" t="s">
        <v>34</v>
      </c>
      <c r="E13" s="89"/>
      <c r="F13" s="89"/>
      <c r="G13" s="89"/>
      <c r="H13" s="89"/>
      <c r="I13" s="89"/>
      <c r="J13" s="89"/>
      <c r="K13" s="86"/>
      <c r="L13" s="36" t="s">
        <v>35</v>
      </c>
      <c r="M13" s="101" t="s">
        <v>36</v>
      </c>
      <c r="N13" s="86"/>
      <c r="O13" s="101" t="s">
        <v>37</v>
      </c>
      <c r="P13" s="86"/>
      <c r="Q13" s="36" t="s">
        <v>38</v>
      </c>
      <c r="T13" s="36" t="s">
        <v>39</v>
      </c>
      <c r="U13" s="61" t="s">
        <v>40</v>
      </c>
      <c r="V13" s="62" t="s">
        <v>41</v>
      </c>
      <c r="W13" s="37" t="s">
        <v>42</v>
      </c>
      <c r="X13" s="61" t="s">
        <v>43</v>
      </c>
    </row>
    <row r="14" spans="2:27" ht="33" customHeight="1" x14ac:dyDescent="0.45">
      <c r="B14" s="85">
        <v>1</v>
      </c>
      <c r="C14" s="86"/>
      <c r="D14" s="124" t="s">
        <v>44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685000</v>
      </c>
      <c r="N14" s="80"/>
      <c r="O14" s="87">
        <f t="shared" ref="O14:O23" si="0">M14*L14</f>
        <v>685000</v>
      </c>
      <c r="P14" s="86"/>
      <c r="Q14" s="64" t="s">
        <v>45</v>
      </c>
      <c r="T14" s="39">
        <v>645498</v>
      </c>
      <c r="U14" s="39">
        <f>T14*L14</f>
        <v>645498</v>
      </c>
      <c r="V14" s="41">
        <f t="shared" ref="V14:V23" si="1">O14-U14</f>
        <v>39502</v>
      </c>
      <c r="W14" s="42">
        <f t="shared" ref="W14:W24" si="2">V14/O14</f>
        <v>5.7667153284671535E-2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685000</v>
      </c>
      <c r="P24" s="86"/>
      <c r="Q24" s="48"/>
      <c r="T24" s="39">
        <f>SUM(T14:T23)</f>
        <v>645498</v>
      </c>
      <c r="U24" s="39">
        <f>SUM(U14:U23)</f>
        <v>645498</v>
      </c>
      <c r="V24" s="39">
        <f>SUM(V14:V23)</f>
        <v>39502</v>
      </c>
      <c r="W24" s="42">
        <f t="shared" si="2"/>
        <v>5.7667153284671535E-2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68500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753500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E05401-A472-4C94-B33A-1840B093195C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9AE7CC0B-60DD-4670-ACCC-6526A3543E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DE21D3-3A8C-4877-96F8-D307E521A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2025-09-23T05:39:25Z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